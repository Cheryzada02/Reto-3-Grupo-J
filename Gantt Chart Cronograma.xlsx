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yke\Documents\Programacion Web\Programacion 3\Proyecto Final\Reto-3-Grupo-J\"/>
    </mc:Choice>
  </mc:AlternateContent>
  <xr:revisionPtr revIDLastSave="0" documentId="13_ncr:1_{2DACDE27-407F-427D-960B-F96089BC8E49}" xr6:coauthVersionLast="47" xr6:coauthVersionMax="47" xr10:uidLastSave="{00000000-0000-0000-0000-000000000000}"/>
  <bookViews>
    <workbookView xWindow="57480" yWindow="7650" windowWidth="29040" windowHeight="15720" xr2:uid="{00000000-000D-0000-FFFF-FFFF00000000}"/>
  </bookViews>
  <sheets>
    <sheet name="Project Schedule" sheetId="11" r:id="rId1"/>
  </sheets>
  <definedNames>
    <definedName name="Display_Week">'Project Schedule'!$Q$2</definedName>
    <definedName name="_xlnm.Print_Titles" localSheetId="0">'Project Schedule'!$5:$7</definedName>
    <definedName name="Project_Start">'Project Schedule'!$Q$1</definedName>
    <definedName name="task_end" localSheetId="0">'Project Schedule'!$F1</definedName>
    <definedName name="task_progress" localSheetId="0">'Project Schedule'!$D1</definedName>
    <definedName name="task_start" localSheetId="0">'Project Schedule'!$E1</definedName>
    <definedName name="today" localSheetId="0">TODAY()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1" l="1"/>
  <c r="F10" i="11" s="1"/>
  <c r="E11" i="11" s="1"/>
  <c r="I6" i="11"/>
  <c r="I5" i="11"/>
  <c r="H8" i="11"/>
  <c r="F11" i="11" l="1"/>
  <c r="E12" i="11" s="1"/>
  <c r="F12" i="11" s="1"/>
  <c r="E13" i="11" s="1"/>
  <c r="F13" i="11" s="1"/>
  <c r="E14" i="11"/>
  <c r="F14" i="11" s="1"/>
  <c r="E22" i="11"/>
  <c r="F22" i="11" l="1"/>
  <c r="E23" i="11" s="1"/>
  <c r="E24" i="11" s="1"/>
  <c r="H21" i="11"/>
  <c r="H15" i="11"/>
  <c r="H9" i="11"/>
  <c r="H22" i="11" l="1"/>
  <c r="F23" i="11"/>
  <c r="H23" i="11" s="1"/>
  <c r="H10" i="11"/>
  <c r="F24" i="11"/>
  <c r="E26" i="11"/>
  <c r="E16" i="11"/>
  <c r="E17" i="11" s="1"/>
  <c r="I7" i="11"/>
  <c r="F26" i="11" l="1"/>
  <c r="H26" i="11" s="1"/>
  <c r="H11" i="11"/>
  <c r="E25" i="11"/>
  <c r="H24" i="11"/>
  <c r="F17" i="11"/>
  <c r="F16" i="11"/>
  <c r="H16" i="11" s="1"/>
  <c r="H14" i="11"/>
  <c r="J6" i="11"/>
  <c r="K6" i="11" l="1"/>
  <c r="L6" i="11" s="1"/>
  <c r="M6" i="11" s="1"/>
  <c r="N6" i="11" s="1"/>
  <c r="O6" i="11" s="1"/>
  <c r="P6" i="11" s="1"/>
  <c r="P5" i="11" s="1"/>
  <c r="J7" i="11"/>
  <c r="F25" i="11"/>
  <c r="H25" i="11" s="1"/>
  <c r="H17" i="11"/>
  <c r="E18" i="11"/>
  <c r="E19" i="11" s="1"/>
  <c r="E20" i="11" s="1"/>
  <c r="H12" i="11"/>
  <c r="H13" i="11"/>
  <c r="Q6" i="11" l="1"/>
  <c r="R6" i="11" s="1"/>
  <c r="S6" i="11" s="1"/>
  <c r="T6" i="11" s="1"/>
  <c r="U6" i="11" s="1"/>
  <c r="V6" i="11" s="1"/>
  <c r="W6" i="11" s="1"/>
  <c r="F20" i="11"/>
  <c r="H20" i="11" s="1"/>
  <c r="F19" i="11"/>
  <c r="H19" i="11" s="1"/>
  <c r="F18" i="11"/>
  <c r="H18" i="11" s="1"/>
  <c r="W5" i="11"/>
  <c r="X6" i="11"/>
  <c r="Y6" i="11" s="1"/>
  <c r="Z6" i="11" s="1"/>
  <c r="AA6" i="11" s="1"/>
  <c r="AB6" i="11" s="1"/>
  <c r="AC6" i="11" s="1"/>
  <c r="K7" i="11"/>
  <c r="L7" i="11" l="1"/>
  <c r="M7" i="11" l="1"/>
  <c r="N7" i="11" l="1"/>
  <c r="O7" i="11" l="1"/>
  <c r="P7" i="11" l="1"/>
  <c r="Q7" i="11"/>
  <c r="R7" i="11" l="1"/>
  <c r="S7" i="11" l="1"/>
  <c r="T7" i="11" l="1"/>
  <c r="U7" i="11" l="1"/>
  <c r="V7" i="11" l="1"/>
  <c r="W7" i="11" l="1"/>
  <c r="X7" i="11" l="1"/>
  <c r="Y7" i="11" l="1"/>
  <c r="Z7" i="11" l="1"/>
  <c r="AA7" i="11" l="1"/>
  <c r="AB7" i="11" l="1"/>
  <c r="AC7" i="11" l="1"/>
</calcChain>
</file>

<file path=xl/sharedStrings.xml><?xml version="1.0" encoding="utf-8"?>
<sst xmlns="http://schemas.openxmlformats.org/spreadsheetml/2006/main" count="14" uniqueCount="14">
  <si>
    <t xml:space="preserve">Do not delete this row. This row is hidden to preserve a formula that is used to highlight the current day within the project schedule. </t>
  </si>
  <si>
    <t>Display week:</t>
  </si>
  <si>
    <t>FerreteríaRD</t>
  </si>
  <si>
    <t>Tarea</t>
  </si>
  <si>
    <t>Progreso</t>
  </si>
  <si>
    <t>Inicio</t>
  </si>
  <si>
    <t>Fin</t>
  </si>
  <si>
    <t>Responsable</t>
  </si>
  <si>
    <t>Inicio Del Projecto</t>
  </si>
  <si>
    <t>Fin Del Projecto</t>
  </si>
  <si>
    <t>Planificación</t>
  </si>
  <si>
    <t>Prototipo Funcional</t>
  </si>
  <si>
    <t>Entrega final</t>
  </si>
  <si>
    <t>Raykel Villar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</si>
</sst>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/d/yy;@"/>
    <numFmt numFmtId="165" formatCode="ddd\,\ m/d/yyyy"/>
    <numFmt numFmtId="166" formatCode="mmm\ d\,\ yyyy"/>
    <numFmt numFmtId="167" formatCode="d"/>
  </numFmts>
  <fonts count="29" x14ac:knownFonts="1">
    <font>
      <sz val="11"/>
      <color theme="1"/>
      <name val="Arial"/>
      <family val="2"/>
      <scheme val="min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22"/>
      <color theme="1" tint="0.34998626667073579"/>
      <name val="Arial Black"/>
      <family val="2"/>
      <scheme val="major"/>
    </font>
    <font>
      <b/>
      <sz val="11"/>
      <color theme="1" tint="0.499984740745262"/>
      <name val="Arial"/>
      <family val="2"/>
      <scheme val="minor"/>
    </font>
    <font>
      <sz val="10"/>
      <color theme="1" tint="0.499984740745262"/>
      <name val="Arial"/>
      <family val="2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20"/>
      <color theme="4" tint="-0.249977111117893"/>
      <name val="Arial"/>
      <family val="2"/>
    </font>
    <font>
      <sz val="11"/>
      <color theme="1"/>
      <name val="Arial"/>
      <family val="2"/>
    </font>
    <font>
      <sz val="16"/>
      <color theme="1"/>
      <name val="Arial"/>
      <family val="2"/>
      <scheme val="minor"/>
    </font>
    <font>
      <b/>
      <sz val="1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6"/>
      <color theme="9"/>
      <name val="Arial"/>
      <family val="2"/>
      <scheme val="minor"/>
    </font>
    <font>
      <b/>
      <sz val="40"/>
      <color theme="9"/>
      <name val="Arial Black"/>
      <family val="2"/>
      <scheme val="major"/>
    </font>
    <font>
      <b/>
      <sz val="16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16"/>
      <color theme="0"/>
      <name val="Arial Black"/>
      <family val="2"/>
      <scheme val="major"/>
    </font>
    <font>
      <sz val="11"/>
      <color theme="0"/>
      <name val="Arial Black"/>
      <family val="2"/>
      <scheme val="major"/>
    </font>
    <font>
      <b/>
      <sz val="14"/>
      <color theme="9"/>
      <name val="Arial"/>
      <family val="2"/>
      <scheme val="minor"/>
    </font>
    <font>
      <b/>
      <sz val="14"/>
      <color theme="9"/>
      <name val="Arial Black"/>
      <family val="2"/>
      <scheme val="major"/>
    </font>
    <font>
      <sz val="14"/>
      <color theme="1"/>
      <name val="Arial Black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4.9989318521683403E-2"/>
        <bgColor theme="4"/>
      </patternFill>
    </fill>
    <fill>
      <patternFill patternType="solid">
        <fgColor theme="0" tint="-0.14996795556505021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6" tint="0.59996337778862885"/>
      </top>
      <bottom style="thin">
        <color theme="6" tint="0.59996337778862885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9" fillId="0" borderId="0"/>
    <xf numFmtId="43" fontId="4" fillId="0" borderId="2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indent="1"/>
    </xf>
    <xf numFmtId="165" fontId="4" fillId="0" borderId="2">
      <alignment horizontal="center" vertical="center"/>
    </xf>
    <xf numFmtId="164" fontId="4" fillId="0" borderId="1" applyFill="0">
      <alignment horizontal="center" vertical="center"/>
    </xf>
    <xf numFmtId="0" fontId="4" fillId="0" borderId="1" applyFill="0">
      <alignment horizontal="center" vertical="center"/>
    </xf>
    <xf numFmtId="0" fontId="4" fillId="0" borderId="1" applyFill="0">
      <alignment horizontal="left" vertical="center" indent="2"/>
    </xf>
  </cellStyleXfs>
  <cellXfs count="8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8" fillId="0" borderId="0" xfId="1" applyFont="1" applyAlignment="1" applyProtection="1"/>
    <xf numFmtId="0" fontId="3" fillId="0" borderId="1" xfId="0" applyFont="1" applyBorder="1" applyAlignment="1">
      <alignment horizontal="center" vertical="center"/>
    </xf>
    <xf numFmtId="0" fontId="9" fillId="0" borderId="0" xfId="3"/>
    <xf numFmtId="0" fontId="9" fillId="0" borderId="0" xfId="3" applyAlignment="1">
      <alignment wrapText="1"/>
    </xf>
    <xf numFmtId="0" fontId="9" fillId="0" borderId="0" xfId="0" applyFont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left" indent="1"/>
    </xf>
    <xf numFmtId="0" fontId="4" fillId="0" borderId="0" xfId="0" applyFont="1"/>
    <xf numFmtId="0" fontId="4" fillId="0" borderId="0" xfId="8">
      <alignment horizontal="right" indent="1"/>
    </xf>
    <xf numFmtId="0" fontId="4" fillId="0" borderId="0" xfId="0" applyFont="1" applyAlignment="1">
      <alignment horizontal="center"/>
    </xf>
    <xf numFmtId="0" fontId="1" fillId="0" borderId="0" xfId="1" applyFont="1" applyAlignment="1" applyProtection="1">
      <alignment horizontal="left" vertical="top" indent="1"/>
    </xf>
    <xf numFmtId="0" fontId="4" fillId="0" borderId="0" xfId="0" applyFont="1" applyAlignment="1">
      <alignment horizontal="left" indent="1"/>
    </xf>
    <xf numFmtId="167" fontId="17" fillId="10" borderId="17" xfId="0" applyNumberFormat="1" applyFont="1" applyFill="1" applyBorder="1" applyAlignment="1">
      <alignment horizontal="center" vertical="center"/>
    </xf>
    <xf numFmtId="167" fontId="17" fillId="10" borderId="15" xfId="0" applyNumberFormat="1" applyFont="1" applyFill="1" applyBorder="1" applyAlignment="1">
      <alignment horizontal="center" vertical="center"/>
    </xf>
    <xf numFmtId="167" fontId="17" fillId="10" borderId="16" xfId="0" applyNumberFormat="1" applyFont="1" applyFill="1" applyBorder="1" applyAlignment="1">
      <alignment horizontal="center" vertical="center"/>
    </xf>
    <xf numFmtId="0" fontId="18" fillId="2" borderId="14" xfId="0" applyFont="1" applyFill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center" vertical="center" shrinkToFit="1"/>
    </xf>
    <xf numFmtId="0" fontId="15" fillId="0" borderId="0" xfId="0" applyFont="1"/>
    <xf numFmtId="0" fontId="15" fillId="0" borderId="0" xfId="0" applyFont="1" applyAlignment="1">
      <alignment wrapText="1"/>
    </xf>
    <xf numFmtId="0" fontId="4" fillId="0" borderId="3" xfId="0" applyFont="1" applyBorder="1" applyAlignment="1">
      <alignment vertical="center"/>
    </xf>
    <xf numFmtId="0" fontId="19" fillId="6" borderId="0" xfId="0" applyFont="1" applyFill="1" applyAlignment="1">
      <alignment horizontal="left" vertical="center" indent="1"/>
    </xf>
    <xf numFmtId="0" fontId="15" fillId="6" borderId="0" xfId="11" applyFont="1" applyFill="1" applyBorder="1" applyAlignment="1">
      <alignment vertical="center"/>
    </xf>
    <xf numFmtId="9" fontId="1" fillId="6" borderId="0" xfId="2" applyFont="1" applyFill="1" applyBorder="1" applyAlignment="1">
      <alignment horizontal="center" vertical="center"/>
    </xf>
    <xf numFmtId="164" fontId="15" fillId="6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5" fillId="3" borderId="6" xfId="12" applyFont="1" applyFill="1" applyBorder="1">
      <alignment horizontal="left" vertical="center" indent="2"/>
    </xf>
    <xf numFmtId="0" fontId="15" fillId="3" borderId="6" xfId="11" applyFont="1" applyFill="1" applyBorder="1" applyAlignment="1">
      <alignment vertical="center"/>
    </xf>
    <xf numFmtId="9" fontId="1" fillId="3" borderId="6" xfId="2" applyFont="1" applyFill="1" applyBorder="1" applyAlignment="1">
      <alignment horizontal="center" vertical="center"/>
    </xf>
    <xf numFmtId="164" fontId="15" fillId="3" borderId="6" xfId="10" applyFont="1" applyFill="1" applyBorder="1">
      <alignment horizontal="center" vertical="center"/>
    </xf>
    <xf numFmtId="0" fontId="4" fillId="0" borderId="4" xfId="0" applyFont="1" applyBorder="1" applyAlignment="1">
      <alignment vertical="center"/>
    </xf>
    <xf numFmtId="0" fontId="15" fillId="3" borderId="7" xfId="12" applyFont="1" applyFill="1" applyBorder="1">
      <alignment horizontal="left" vertical="center" indent="2"/>
    </xf>
    <xf numFmtId="0" fontId="15" fillId="3" borderId="7" xfId="11" applyFont="1" applyFill="1" applyBorder="1" applyAlignment="1">
      <alignment vertical="center"/>
    </xf>
    <xf numFmtId="9" fontId="1" fillId="3" borderId="7" xfId="2" applyFont="1" applyFill="1" applyBorder="1" applyAlignment="1">
      <alignment horizontal="center" vertical="center"/>
    </xf>
    <xf numFmtId="164" fontId="15" fillId="3" borderId="7" xfId="10" applyFont="1" applyFill="1" applyBorder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19" fillId="7" borderId="0" xfId="0" applyFont="1" applyFill="1" applyAlignment="1">
      <alignment horizontal="left" vertical="center" indent="1"/>
    </xf>
    <xf numFmtId="0" fontId="15" fillId="7" borderId="0" xfId="11" applyFont="1" applyFill="1" applyBorder="1" applyAlignment="1">
      <alignment vertical="center"/>
    </xf>
    <xf numFmtId="9" fontId="1" fillId="7" borderId="0" xfId="2" applyFont="1" applyFill="1" applyBorder="1" applyAlignment="1">
      <alignment horizontal="center" vertical="center"/>
    </xf>
    <xf numFmtId="164" fontId="15" fillId="7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0" fontId="15" fillId="4" borderId="5" xfId="12" applyFont="1" applyFill="1" applyBorder="1">
      <alignment horizontal="left" vertical="center" indent="2"/>
    </xf>
    <xf numFmtId="0" fontId="15" fillId="4" borderId="5" xfId="11" applyFont="1" applyFill="1" applyBorder="1" applyAlignment="1">
      <alignment vertical="center"/>
    </xf>
    <xf numFmtId="9" fontId="1" fillId="4" borderId="5" xfId="2" applyFont="1" applyFill="1" applyBorder="1" applyAlignment="1">
      <alignment horizontal="center" vertical="center"/>
    </xf>
    <xf numFmtId="164" fontId="15" fillId="4" borderId="5" xfId="10" applyFont="1" applyFill="1" applyBorder="1">
      <alignment horizontal="center" vertical="center"/>
    </xf>
    <xf numFmtId="0" fontId="19" fillId="8" borderId="0" xfId="0" applyFont="1" applyFill="1" applyAlignment="1">
      <alignment horizontal="left" vertical="center" indent="1"/>
    </xf>
    <xf numFmtId="0" fontId="15" fillId="8" borderId="0" xfId="11" applyFont="1" applyFill="1" applyBorder="1" applyAlignment="1">
      <alignment vertical="center"/>
    </xf>
    <xf numFmtId="9" fontId="1" fillId="8" borderId="0" xfId="2" applyFont="1" applyFill="1" applyBorder="1" applyAlignment="1">
      <alignment horizontal="center" vertical="center"/>
    </xf>
    <xf numFmtId="164" fontId="15" fillId="8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5" fillId="5" borderId="8" xfId="12" applyFont="1" applyFill="1" applyBorder="1">
      <alignment horizontal="left" vertical="center" indent="2"/>
    </xf>
    <xf numFmtId="0" fontId="15" fillId="5" borderId="8" xfId="11" applyFont="1" applyFill="1" applyBorder="1" applyAlignment="1">
      <alignment vertical="center"/>
    </xf>
    <xf numFmtId="9" fontId="1" fillId="5" borderId="8" xfId="2" applyFont="1" applyFill="1" applyBorder="1" applyAlignment="1">
      <alignment horizontal="center" vertical="center"/>
    </xf>
    <xf numFmtId="164" fontId="15" fillId="5" borderId="8" xfId="10" applyFont="1" applyFill="1" applyBorder="1">
      <alignment horizontal="center" vertical="center"/>
    </xf>
    <xf numFmtId="0" fontId="20" fillId="0" borderId="0" xfId="6" applyFont="1" applyAlignment="1">
      <alignment horizontal="left" vertical="center" indent="1"/>
    </xf>
    <xf numFmtId="0" fontId="20" fillId="0" borderId="0" xfId="7" applyFont="1" applyAlignment="1">
      <alignment horizontal="left" vertical="center" indent="1"/>
    </xf>
    <xf numFmtId="0" fontId="21" fillId="0" borderId="0" xfId="5" applyFont="1" applyAlignment="1">
      <alignment horizontal="left"/>
    </xf>
    <xf numFmtId="0" fontId="23" fillId="0" borderId="0" xfId="0" applyFont="1"/>
    <xf numFmtId="0" fontId="4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15" fillId="2" borderId="15" xfId="0" applyNumberFormat="1" applyFont="1" applyFill="1" applyBorder="1" applyAlignment="1">
      <alignment horizontal="center" vertical="center" wrapText="1"/>
    </xf>
    <xf numFmtId="166" fontId="15" fillId="2" borderId="11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/>
    </xf>
    <xf numFmtId="0" fontId="4" fillId="2" borderId="18" xfId="0" applyFont="1" applyFill="1" applyBorder="1"/>
    <xf numFmtId="0" fontId="24" fillId="0" borderId="0" xfId="0" applyFont="1" applyAlignment="1">
      <alignment horizontal="left"/>
    </xf>
    <xf numFmtId="0" fontId="25" fillId="0" borderId="0" xfId="0" applyFont="1"/>
    <xf numFmtId="165" fontId="27" fillId="0" borderId="0" xfId="9" applyFont="1" applyBorder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0" xfId="8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22" fillId="0" borderId="0" xfId="8" applyFont="1" applyAlignment="1">
      <alignment horizontal="left"/>
    </xf>
    <xf numFmtId="0" fontId="9" fillId="0" borderId="0" xfId="0" applyFont="1"/>
    <xf numFmtId="0" fontId="9" fillId="0" borderId="0" xfId="3" applyAlignment="1">
      <alignment wrapText="1"/>
    </xf>
    <xf numFmtId="0" fontId="16" fillId="9" borderId="13" xfId="0" applyFont="1" applyFill="1" applyBorder="1" applyAlignment="1">
      <alignment horizontal="left" vertical="center" indent="1"/>
    </xf>
    <xf numFmtId="0" fontId="4" fillId="2" borderId="18" xfId="0" applyFont="1" applyFill="1" applyBorder="1" applyAlignment="1">
      <alignment horizontal="left" indent="1"/>
    </xf>
    <xf numFmtId="0" fontId="16" fillId="9" borderId="13" xfId="0" applyFont="1" applyFill="1" applyBorder="1" applyAlignment="1">
      <alignment vertical="center"/>
    </xf>
  </cellXfs>
  <cellStyles count="13">
    <cellStyle name="Comma" xfId="4" builtinId="3" customBuiltin="1"/>
    <cellStyle name="Date" xfId="10" xr:uid="{229918B6-DD13-4F5A-97B9-305F7E002AA3}"/>
    <cellStyle name="Heading 1" xfId="6" builtinId="16" customBuiltin="1"/>
    <cellStyle name="Heading 2" xfId="7" builtinId="17" customBuiltin="1"/>
    <cellStyle name="Heading 3" xfId="8" builtinId="18" customBuiltin="1"/>
    <cellStyle name="Hyperlink" xfId="1" builtinId="8" customBuiltin="1"/>
    <cellStyle name="Name" xfId="11" xr:uid="{B2D3C1EE-6B41-4801-AAFC-C2274E49E503}"/>
    <cellStyle name="Normal" xfId="0" builtinId="0"/>
    <cellStyle name="Percent" xfId="2" builtinId="5"/>
    <cellStyle name="Project Start" xfId="9" xr:uid="{8EB8A09A-C31C-40A3-B2C1-9449520178B8}"/>
    <cellStyle name="Task" xfId="12" xr:uid="{6391D789-272B-4DD2-9BF3-2CDCF610FA41}"/>
    <cellStyle name="Title" xfId="5" builtinId="15" customBuiltin="1"/>
    <cellStyle name="zHiddenText" xfId="3" xr:uid="{26E66EE6-E33F-4D77-BAE4-0FB4F5BBF673}"/>
  </cellStyles>
  <dxfs count="23"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9" tint="0.79998168889431442"/>
        </patternFill>
      </fill>
      <border>
        <left style="thin">
          <color theme="5"/>
        </left>
        <right style="thin">
          <color theme="5"/>
        </right>
        <vertical/>
        <horizontal/>
      </border>
    </dxf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9" tint="0.79998168889431442"/>
        </patternFill>
      </fill>
      <border>
        <left style="thin">
          <color theme="5"/>
        </left>
        <right style="thin">
          <color theme="5"/>
        </right>
        <vertical/>
        <horizontal/>
      </border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secondColumnStripe" dxfId="1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D29"/>
  <sheetViews>
    <sheetView showGridLines="0" tabSelected="1" showRuler="0" zoomScaleNormal="100" zoomScalePageLayoutView="70" workbookViewId="0">
      <selection activeCell="D9" sqref="D9"/>
    </sheetView>
  </sheetViews>
  <sheetFormatPr defaultColWidth="8.6640625" defaultRowHeight="30" customHeight="1" x14ac:dyDescent="0.3"/>
  <cols>
    <col min="1" max="1" width="2.6640625" style="6" customWidth="1"/>
    <col min="2" max="2" width="22.6640625" customWidth="1"/>
    <col min="3" max="3" width="16.6640625" customWidth="1"/>
    <col min="4" max="4" width="10.6640625" customWidth="1"/>
    <col min="5" max="5" width="10.6640625" style="2" customWidth="1"/>
    <col min="6" max="6" width="10.6640625" customWidth="1"/>
    <col min="7" max="7" width="2.6640625" customWidth="1"/>
    <col min="8" max="8" width="6" hidden="1" customWidth="1"/>
    <col min="9" max="14" width="2.6640625" customWidth="1"/>
    <col min="15" max="15" width="4.75" customWidth="1"/>
    <col min="16" max="29" width="2.6640625" customWidth="1"/>
  </cols>
  <sheetData>
    <row r="1" spans="1:30" ht="90" customHeight="1" x14ac:dyDescent="1.7">
      <c r="A1" s="7"/>
      <c r="B1" s="70" t="s">
        <v>2</v>
      </c>
      <c r="C1" s="11"/>
      <c r="D1" s="12"/>
      <c r="E1" s="13"/>
      <c r="F1" s="14"/>
      <c r="H1" s="1"/>
      <c r="I1" s="81" t="s">
        <v>8</v>
      </c>
      <c r="J1" s="82"/>
      <c r="K1" s="82"/>
      <c r="L1" s="82"/>
      <c r="M1" s="82"/>
      <c r="N1" s="82"/>
      <c r="O1" s="82"/>
      <c r="P1" s="17"/>
      <c r="Q1" s="79">
        <v>46130</v>
      </c>
      <c r="R1" s="80"/>
      <c r="S1" s="80"/>
      <c r="T1" s="80"/>
      <c r="U1" s="80"/>
      <c r="V1" s="80"/>
      <c r="W1" s="80"/>
      <c r="X1" s="80"/>
      <c r="Y1" s="80"/>
      <c r="Z1" s="80"/>
    </row>
    <row r="2" spans="1:30" ht="30" customHeight="1" x14ac:dyDescent="0.7">
      <c r="B2" s="68" t="s">
        <v>13</v>
      </c>
      <c r="C2" s="69"/>
      <c r="D2" s="15"/>
      <c r="E2" s="16"/>
      <c r="F2" s="15"/>
      <c r="I2" s="83" t="s">
        <v>1</v>
      </c>
      <c r="J2" s="84"/>
      <c r="K2" s="84"/>
      <c r="L2" s="84"/>
      <c r="M2" s="84"/>
      <c r="N2" s="84"/>
      <c r="O2" s="84"/>
      <c r="P2" s="71"/>
      <c r="Q2" s="77">
        <v>2</v>
      </c>
      <c r="R2" s="78"/>
      <c r="S2" s="78"/>
      <c r="T2" s="78"/>
      <c r="U2" s="78"/>
      <c r="V2" s="78"/>
      <c r="W2" s="78"/>
      <c r="X2" s="78"/>
      <c r="Y2" s="78"/>
      <c r="Z2" s="78"/>
    </row>
    <row r="3" spans="1:30" s="19" customFormat="1" ht="44.5" customHeight="1" x14ac:dyDescent="0.3">
      <c r="A3" s="6"/>
      <c r="B3" s="18"/>
      <c r="D3" s="20"/>
      <c r="E3" s="21"/>
      <c r="I3" s="81" t="s">
        <v>9</v>
      </c>
      <c r="J3" s="82"/>
      <c r="K3" s="82"/>
      <c r="L3" s="82"/>
      <c r="M3" s="82"/>
      <c r="N3" s="82"/>
      <c r="O3" s="82"/>
      <c r="Q3" s="79">
        <v>46150</v>
      </c>
      <c r="R3" s="80"/>
      <c r="S3" s="80"/>
      <c r="T3" s="80"/>
      <c r="U3" s="80"/>
      <c r="V3" s="80"/>
      <c r="W3" s="80"/>
      <c r="X3" s="80"/>
      <c r="Y3" s="80"/>
      <c r="Z3" s="80"/>
    </row>
    <row r="4" spans="1:30" s="19" customFormat="1" ht="30" customHeight="1" x14ac:dyDescent="0.3">
      <c r="A4" s="6"/>
      <c r="B4" s="18"/>
      <c r="D4" s="20"/>
      <c r="E4" s="21"/>
    </row>
    <row r="5" spans="1:30" s="19" customFormat="1" ht="30" customHeight="1" x14ac:dyDescent="0.3">
      <c r="A5" s="7"/>
      <c r="B5" s="22"/>
      <c r="E5" s="23"/>
      <c r="I5" s="73">
        <f>I6</f>
        <v>46130</v>
      </c>
      <c r="J5" s="74"/>
      <c r="K5" s="74"/>
      <c r="L5" s="74"/>
      <c r="M5" s="74"/>
      <c r="N5" s="74"/>
      <c r="O5" s="74"/>
      <c r="P5" s="74">
        <f>P6</f>
        <v>46137</v>
      </c>
      <c r="Q5" s="74"/>
      <c r="R5" s="74"/>
      <c r="S5" s="74"/>
      <c r="T5" s="74"/>
      <c r="U5" s="74"/>
      <c r="V5" s="74"/>
      <c r="W5" s="74">
        <f>W6</f>
        <v>46144</v>
      </c>
      <c r="X5" s="74"/>
      <c r="Y5" s="74"/>
      <c r="Z5" s="74"/>
      <c r="AA5" s="74"/>
      <c r="AB5" s="74"/>
      <c r="AC5" s="74"/>
    </row>
    <row r="6" spans="1:30" s="19" customFormat="1" ht="15" customHeight="1" x14ac:dyDescent="0.3">
      <c r="A6" s="85"/>
      <c r="B6" s="86" t="s">
        <v>3</v>
      </c>
      <c r="C6" s="88" t="s">
        <v>7</v>
      </c>
      <c r="D6" s="75" t="s">
        <v>4</v>
      </c>
      <c r="E6" s="75" t="s">
        <v>5</v>
      </c>
      <c r="F6" s="75" t="s">
        <v>6</v>
      </c>
      <c r="I6" s="24">
        <f>Project_Start-WEEKDAY(Project_Start,16)*(Display_Week-1)+1</f>
        <v>46130</v>
      </c>
      <c r="J6" s="24">
        <f>I6+1</f>
        <v>46131</v>
      </c>
      <c r="K6" s="24">
        <f t="shared" ref="K6:AC6" si="0">J6+1</f>
        <v>46132</v>
      </c>
      <c r="L6" s="24">
        <f t="shared" si="0"/>
        <v>46133</v>
      </c>
      <c r="M6" s="24">
        <f t="shared" si="0"/>
        <v>46134</v>
      </c>
      <c r="N6" s="24">
        <f t="shared" si="0"/>
        <v>46135</v>
      </c>
      <c r="O6" s="25">
        <f t="shared" si="0"/>
        <v>46136</v>
      </c>
      <c r="P6" s="26">
        <f>O6+1</f>
        <v>46137</v>
      </c>
      <c r="Q6" s="24">
        <f>P6+1</f>
        <v>46138</v>
      </c>
      <c r="R6" s="24">
        <f t="shared" si="0"/>
        <v>46139</v>
      </c>
      <c r="S6" s="24">
        <f t="shared" si="0"/>
        <v>46140</v>
      </c>
      <c r="T6" s="24">
        <f t="shared" si="0"/>
        <v>46141</v>
      </c>
      <c r="U6" s="24">
        <f t="shared" si="0"/>
        <v>46142</v>
      </c>
      <c r="V6" s="25">
        <f t="shared" si="0"/>
        <v>46143</v>
      </c>
      <c r="W6" s="26">
        <f>V6+1</f>
        <v>46144</v>
      </c>
      <c r="X6" s="24">
        <f>W6+1</f>
        <v>46145</v>
      </c>
      <c r="Y6" s="24">
        <f t="shared" si="0"/>
        <v>46146</v>
      </c>
      <c r="Z6" s="24">
        <f t="shared" si="0"/>
        <v>46147</v>
      </c>
      <c r="AA6" s="24">
        <f t="shared" si="0"/>
        <v>46148</v>
      </c>
      <c r="AB6" s="24">
        <f t="shared" si="0"/>
        <v>46149</v>
      </c>
      <c r="AC6" s="25">
        <f t="shared" si="0"/>
        <v>46150</v>
      </c>
    </row>
    <row r="7" spans="1:30" s="19" customFormat="1" ht="15" customHeight="1" thickBot="1" x14ac:dyDescent="0.35">
      <c r="A7" s="85"/>
      <c r="B7" s="87"/>
      <c r="C7" s="76"/>
      <c r="D7" s="76"/>
      <c r="E7" s="76"/>
      <c r="F7" s="76"/>
      <c r="I7" s="27" t="str">
        <f t="shared" ref="I7:AC7" si="1">LEFT(TEXT(I6,"ddd"),1)</f>
        <v>S</v>
      </c>
      <c r="J7" s="28" t="str">
        <f t="shared" si="1"/>
        <v>S</v>
      </c>
      <c r="K7" s="28" t="str">
        <f t="shared" si="1"/>
        <v>M</v>
      </c>
      <c r="L7" s="28" t="str">
        <f t="shared" si="1"/>
        <v>T</v>
      </c>
      <c r="M7" s="28" t="str">
        <f t="shared" si="1"/>
        <v>W</v>
      </c>
      <c r="N7" s="28" t="str">
        <f t="shared" si="1"/>
        <v>T</v>
      </c>
      <c r="O7" s="28" t="str">
        <f t="shared" si="1"/>
        <v>F</v>
      </c>
      <c r="P7" s="28" t="str">
        <f t="shared" si="1"/>
        <v>S</v>
      </c>
      <c r="Q7" s="28" t="str">
        <f t="shared" si="1"/>
        <v>S</v>
      </c>
      <c r="R7" s="28" t="str">
        <f t="shared" si="1"/>
        <v>M</v>
      </c>
      <c r="S7" s="28" t="str">
        <f t="shared" si="1"/>
        <v>T</v>
      </c>
      <c r="T7" s="28" t="str">
        <f t="shared" si="1"/>
        <v>W</v>
      </c>
      <c r="U7" s="28" t="str">
        <f t="shared" si="1"/>
        <v>T</v>
      </c>
      <c r="V7" s="28" t="str">
        <f t="shared" si="1"/>
        <v>F</v>
      </c>
      <c r="W7" s="28" t="str">
        <f t="shared" si="1"/>
        <v>S</v>
      </c>
      <c r="X7" s="28" t="str">
        <f t="shared" si="1"/>
        <v>S</v>
      </c>
      <c r="Y7" s="28" t="str">
        <f t="shared" si="1"/>
        <v>M</v>
      </c>
      <c r="Z7" s="28" t="str">
        <f t="shared" si="1"/>
        <v>T</v>
      </c>
      <c r="AA7" s="28" t="str">
        <f t="shared" si="1"/>
        <v>W</v>
      </c>
      <c r="AB7" s="28" t="str">
        <f t="shared" si="1"/>
        <v>T</v>
      </c>
      <c r="AC7" s="28" t="str">
        <f t="shared" si="1"/>
        <v>F</v>
      </c>
    </row>
    <row r="8" spans="1:30" s="19" customFormat="1" ht="30" hidden="1" customHeight="1" thickBot="1" x14ac:dyDescent="0.35">
      <c r="A8" s="6" t="s">
        <v>0</v>
      </c>
      <c r="B8" s="29"/>
      <c r="C8" s="30"/>
      <c r="D8" s="29"/>
      <c r="E8" s="29"/>
      <c r="F8" s="29"/>
      <c r="H8" s="19" t="str">
        <f>IF(OR(ISBLANK(task_start),ISBLANK(task_end)),"",task_end-task_start+1)</f>
        <v/>
      </c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</row>
    <row r="9" spans="1:30" s="38" customFormat="1" ht="30" customHeight="1" thickBot="1" x14ac:dyDescent="0.35">
      <c r="A9" s="7"/>
      <c r="B9" s="32" t="s">
        <v>10</v>
      </c>
      <c r="C9" s="33"/>
      <c r="D9" s="34"/>
      <c r="E9" s="35"/>
      <c r="F9" s="36"/>
      <c r="G9" s="10"/>
      <c r="H9" s="5" t="str">
        <f t="shared" ref="H9:H26" si="2">IF(OR(ISBLANK(task_start),ISBLANK(task_end)),"",task_end-task_start+1)</f>
        <v/>
      </c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</row>
    <row r="10" spans="1:30" s="38" customFormat="1" ht="30" customHeight="1" thickBot="1" x14ac:dyDescent="0.35">
      <c r="A10" s="7"/>
      <c r="B10" s="39"/>
      <c r="C10" s="40"/>
      <c r="D10" s="41"/>
      <c r="E10" s="42">
        <f>Project_Start</f>
        <v>46130</v>
      </c>
      <c r="F10" s="42">
        <f>E10+3</f>
        <v>46133</v>
      </c>
      <c r="G10" s="10"/>
      <c r="H10" s="5">
        <f t="shared" si="2"/>
        <v>4</v>
      </c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72" t="b">
        <v>0</v>
      </c>
    </row>
    <row r="11" spans="1:30" s="38" customFormat="1" ht="30" customHeight="1" thickBot="1" x14ac:dyDescent="0.35">
      <c r="A11" s="7"/>
      <c r="B11" s="44"/>
      <c r="C11" s="45"/>
      <c r="D11" s="46"/>
      <c r="E11" s="47">
        <f>F10</f>
        <v>46133</v>
      </c>
      <c r="F11" s="47">
        <f>E11+2</f>
        <v>46135</v>
      </c>
      <c r="G11" s="10"/>
      <c r="H11" s="5">
        <f t="shared" si="2"/>
        <v>3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8"/>
      <c r="V11" s="48"/>
      <c r="W11" s="43"/>
      <c r="X11" s="43"/>
      <c r="Y11" s="43"/>
      <c r="Z11" s="43"/>
      <c r="AA11" s="43"/>
      <c r="AB11" s="43"/>
      <c r="AC11" s="43"/>
    </row>
    <row r="12" spans="1:30" s="38" customFormat="1" ht="30" customHeight="1" thickBot="1" x14ac:dyDescent="0.35">
      <c r="A12" s="6"/>
      <c r="B12" s="44"/>
      <c r="C12" s="45"/>
      <c r="D12" s="46"/>
      <c r="E12" s="47">
        <f>F11</f>
        <v>46135</v>
      </c>
      <c r="F12" s="47">
        <f>E12+4</f>
        <v>46139</v>
      </c>
      <c r="G12" s="10"/>
      <c r="H12" s="5">
        <f t="shared" si="2"/>
        <v>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</row>
    <row r="13" spans="1:30" s="38" customFormat="1" ht="30" customHeight="1" thickBot="1" x14ac:dyDescent="0.35">
      <c r="A13" s="6"/>
      <c r="B13" s="44"/>
      <c r="C13" s="45"/>
      <c r="D13" s="46"/>
      <c r="E13" s="47">
        <f>F12</f>
        <v>46139</v>
      </c>
      <c r="F13" s="47">
        <f>E13+5</f>
        <v>46144</v>
      </c>
      <c r="G13" s="10"/>
      <c r="H13" s="5">
        <f t="shared" si="2"/>
        <v>6</v>
      </c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8"/>
      <c r="Z13" s="43"/>
      <c r="AA13" s="43"/>
      <c r="AB13" s="43"/>
      <c r="AC13" s="43"/>
    </row>
    <row r="14" spans="1:30" s="38" customFormat="1" ht="30" customHeight="1" thickBot="1" x14ac:dyDescent="0.35">
      <c r="A14" s="6"/>
      <c r="B14" s="44"/>
      <c r="C14" s="45"/>
      <c r="D14" s="46"/>
      <c r="E14" s="47">
        <f>E11+1</f>
        <v>46134</v>
      </c>
      <c r="F14" s="47">
        <f>E14+2</f>
        <v>46136</v>
      </c>
      <c r="G14" s="10"/>
      <c r="H14" s="5">
        <f t="shared" si="2"/>
        <v>3</v>
      </c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30" s="38" customFormat="1" ht="30" customHeight="1" thickBot="1" x14ac:dyDescent="0.35">
      <c r="A15" s="7"/>
      <c r="B15" s="49" t="s">
        <v>11</v>
      </c>
      <c r="C15" s="50"/>
      <c r="D15" s="51"/>
      <c r="E15" s="52"/>
      <c r="F15" s="53"/>
      <c r="G15" s="10"/>
      <c r="H15" s="5" t="str">
        <f t="shared" si="2"/>
        <v/>
      </c>
    </row>
    <row r="16" spans="1:30" s="38" customFormat="1" ht="30" customHeight="1" thickBot="1" x14ac:dyDescent="0.35">
      <c r="A16" s="7"/>
      <c r="B16" s="54"/>
      <c r="C16" s="55"/>
      <c r="D16" s="56">
        <v>0.5</v>
      </c>
      <c r="E16" s="57">
        <f>E14+1</f>
        <v>46135</v>
      </c>
      <c r="F16" s="57">
        <f>E16+4</f>
        <v>46139</v>
      </c>
      <c r="G16" s="10"/>
      <c r="H16" s="5">
        <f t="shared" si="2"/>
        <v>5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38" customFormat="1" ht="30" customHeight="1" thickBot="1" x14ac:dyDescent="0.35">
      <c r="A17" s="6"/>
      <c r="B17" s="54"/>
      <c r="C17" s="55"/>
      <c r="D17" s="56">
        <v>0.5</v>
      </c>
      <c r="E17" s="57">
        <f>E16+2</f>
        <v>46137</v>
      </c>
      <c r="F17" s="57">
        <f>E17+5</f>
        <v>46142</v>
      </c>
      <c r="G17" s="10"/>
      <c r="H17" s="5">
        <f t="shared" si="2"/>
        <v>6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8"/>
      <c r="V17" s="48"/>
      <c r="W17" s="43"/>
      <c r="X17" s="43"/>
      <c r="Y17" s="43"/>
      <c r="Z17" s="43"/>
      <c r="AA17" s="43"/>
      <c r="AB17" s="43"/>
      <c r="AC17" s="43"/>
    </row>
    <row r="18" spans="1:29" s="38" customFormat="1" ht="30" customHeight="1" thickBot="1" x14ac:dyDescent="0.35">
      <c r="A18" s="6"/>
      <c r="B18" s="54"/>
      <c r="C18" s="55"/>
      <c r="D18" s="56"/>
      <c r="E18" s="57">
        <f>F17</f>
        <v>46142</v>
      </c>
      <c r="F18" s="57">
        <f>E18+3</f>
        <v>46145</v>
      </c>
      <c r="G18" s="10"/>
      <c r="H18" s="5">
        <f t="shared" si="2"/>
        <v>4</v>
      </c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</row>
    <row r="19" spans="1:29" s="38" customFormat="1" ht="30" customHeight="1" thickBot="1" x14ac:dyDescent="0.35">
      <c r="A19" s="6"/>
      <c r="B19" s="54"/>
      <c r="C19" s="55"/>
      <c r="D19" s="56"/>
      <c r="E19" s="57">
        <f>E18</f>
        <v>46142</v>
      </c>
      <c r="F19" s="57">
        <f>E19+2</f>
        <v>46144</v>
      </c>
      <c r="G19" s="10"/>
      <c r="H19" s="5">
        <f t="shared" si="2"/>
        <v>3</v>
      </c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8"/>
      <c r="Z19" s="43"/>
      <c r="AA19" s="43"/>
      <c r="AB19" s="43"/>
      <c r="AC19" s="43"/>
    </row>
    <row r="20" spans="1:29" s="38" customFormat="1" ht="30" customHeight="1" thickBot="1" x14ac:dyDescent="0.35">
      <c r="A20" s="6"/>
      <c r="B20" s="54"/>
      <c r="C20" s="55"/>
      <c r="D20" s="56"/>
      <c r="E20" s="57">
        <f>E19</f>
        <v>46142</v>
      </c>
      <c r="F20" s="57">
        <f>E20+3</f>
        <v>46145</v>
      </c>
      <c r="G20" s="10"/>
      <c r="H20" s="5">
        <f t="shared" si="2"/>
        <v>4</v>
      </c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</row>
    <row r="21" spans="1:29" s="38" customFormat="1" ht="30" customHeight="1" thickBot="1" x14ac:dyDescent="0.35">
      <c r="A21" s="6"/>
      <c r="B21" s="58" t="s">
        <v>12</v>
      </c>
      <c r="C21" s="59"/>
      <c r="D21" s="60"/>
      <c r="E21" s="61"/>
      <c r="F21" s="62"/>
      <c r="G21" s="10"/>
      <c r="H21" s="5" t="str">
        <f t="shared" si="2"/>
        <v/>
      </c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</row>
    <row r="22" spans="1:29" s="38" customFormat="1" ht="30" customHeight="1" thickBot="1" x14ac:dyDescent="0.35">
      <c r="A22" s="6"/>
      <c r="B22" s="64"/>
      <c r="C22" s="65"/>
      <c r="D22" s="66">
        <v>0.5</v>
      </c>
      <c r="E22" s="67">
        <f>E10+15</f>
        <v>46145</v>
      </c>
      <c r="F22" s="67">
        <f>E22+5</f>
        <v>46150</v>
      </c>
      <c r="G22" s="10"/>
      <c r="H22" s="5">
        <f t="shared" si="2"/>
        <v>6</v>
      </c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</row>
    <row r="23" spans="1:29" s="38" customFormat="1" ht="30" customHeight="1" thickBot="1" x14ac:dyDescent="0.35">
      <c r="A23" s="6"/>
      <c r="B23" s="64"/>
      <c r="C23" s="65"/>
      <c r="D23" s="66">
        <v>0.6</v>
      </c>
      <c r="E23" s="67">
        <f>F22+1</f>
        <v>46151</v>
      </c>
      <c r="F23" s="67">
        <f>E23+4</f>
        <v>46155</v>
      </c>
      <c r="G23" s="10"/>
      <c r="H23" s="5">
        <f t="shared" si="2"/>
        <v>5</v>
      </c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</row>
    <row r="24" spans="1:29" s="38" customFormat="1" ht="30" customHeight="1" thickBot="1" x14ac:dyDescent="0.35">
      <c r="A24" s="6"/>
      <c r="B24" s="64"/>
      <c r="C24" s="65"/>
      <c r="D24" s="66">
        <v>0.5</v>
      </c>
      <c r="E24" s="67">
        <f>E23+5</f>
        <v>46156</v>
      </c>
      <c r="F24" s="67">
        <f>E24+5</f>
        <v>46161</v>
      </c>
      <c r="G24" s="10"/>
      <c r="H24" s="5">
        <f t="shared" si="2"/>
        <v>6</v>
      </c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</row>
    <row r="25" spans="1:29" s="38" customFormat="1" ht="30" customHeight="1" thickBot="1" x14ac:dyDescent="0.35">
      <c r="A25" s="6"/>
      <c r="B25" s="64"/>
      <c r="C25" s="65"/>
      <c r="D25" s="66">
        <v>0.25</v>
      </c>
      <c r="E25" s="67">
        <f>F24+1</f>
        <v>46162</v>
      </c>
      <c r="F25" s="67">
        <f>E25+4</f>
        <v>46166</v>
      </c>
      <c r="G25" s="10"/>
      <c r="H25" s="5">
        <f t="shared" si="2"/>
        <v>5</v>
      </c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</row>
    <row r="26" spans="1:29" s="38" customFormat="1" ht="30" customHeight="1" thickBot="1" x14ac:dyDescent="0.35">
      <c r="A26" s="6"/>
      <c r="B26" s="64"/>
      <c r="C26" s="65"/>
      <c r="D26" s="66">
        <v>0.25</v>
      </c>
      <c r="E26" s="67">
        <f>E24</f>
        <v>46156</v>
      </c>
      <c r="F26" s="67">
        <f>E26+4</f>
        <v>46160</v>
      </c>
      <c r="G26" s="10"/>
      <c r="H26" s="5">
        <f t="shared" si="2"/>
        <v>5</v>
      </c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</row>
    <row r="27" spans="1:29" ht="30" customHeight="1" x14ac:dyDescent="0.3">
      <c r="G27" s="3"/>
    </row>
    <row r="28" spans="1:29" ht="30" customHeight="1" x14ac:dyDescent="0.3">
      <c r="C28" s="9"/>
      <c r="F28" s="8"/>
    </row>
    <row r="29" spans="1:29" ht="30" customHeight="1" x14ac:dyDescent="0.3">
      <c r="C29" s="4"/>
    </row>
  </sheetData>
  <mergeCells count="15">
    <mergeCell ref="A6:A7"/>
    <mergeCell ref="B6:B7"/>
    <mergeCell ref="C6:C7"/>
    <mergeCell ref="D6:D7"/>
    <mergeCell ref="E6:E7"/>
    <mergeCell ref="Q1:Z1"/>
    <mergeCell ref="I1:O1"/>
    <mergeCell ref="I2:O2"/>
    <mergeCell ref="I3:O3"/>
    <mergeCell ref="Q3:Z3"/>
    <mergeCell ref="I5:O5"/>
    <mergeCell ref="P5:V5"/>
    <mergeCell ref="W5:AC5"/>
    <mergeCell ref="F6:F7"/>
    <mergeCell ref="Q2:Z2"/>
  </mergeCells>
  <conditionalFormatting sqref="D8:D26">
    <cfRule type="dataBar" priority="23">
      <dataBar>
        <cfvo type="num" val="0"/>
        <cfvo type="num" val="1"/>
        <color theme="0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I5:AB26">
    <cfRule type="expression" dxfId="13" priority="1">
      <formula>AND(TODAY()&gt;=I$6, TODAY()&lt;J$6)</formula>
    </cfRule>
  </conditionalFormatting>
  <conditionalFormatting sqref="I10:AB14">
    <cfRule type="expression" dxfId="12" priority="6">
      <formula>AND(task_start&lt;=I$6,ROUNDDOWN((task_end-task_start+1)*task_progress,0)+task_start-1&gt;=I$6)</formula>
    </cfRule>
    <cfRule type="expression" dxfId="11" priority="7" stopIfTrue="1">
      <formula>AND(task_end&gt;=I$6,task_start&lt;J$6)</formula>
    </cfRule>
  </conditionalFormatting>
  <conditionalFormatting sqref="I16:AB20">
    <cfRule type="expression" dxfId="10" priority="4">
      <formula>AND(task_start&lt;=I$6,ROUNDDOWN((task_end-task_start+1)*task_progress,0)+task_start-1&gt;=I$6)</formula>
    </cfRule>
    <cfRule type="expression" dxfId="9" priority="5" stopIfTrue="1">
      <formula>AND(task_end&gt;=I$6,task_start&lt;J$6)</formula>
    </cfRule>
  </conditionalFormatting>
  <conditionalFormatting sqref="I22:AB26">
    <cfRule type="expression" dxfId="8" priority="2">
      <formula>AND(task_start&lt;=I$6,ROUNDDOWN((task_end-task_start+1)*task_progress,0)+task_start-1&gt;=I$6)</formula>
    </cfRule>
    <cfRule type="expression" dxfId="7" priority="3" stopIfTrue="1">
      <formula>AND(task_end&gt;=I$6,task_start&lt;J$6)</formula>
    </cfRule>
  </conditionalFormatting>
  <conditionalFormatting sqref="AC5:AC26">
    <cfRule type="expression" dxfId="6" priority="25">
      <formula>AND(TODAY()&gt;=AC$6, TODAY()&lt;#REF!)</formula>
    </cfRule>
  </conditionalFormatting>
  <conditionalFormatting sqref="AC10:AC14">
    <cfRule type="expression" dxfId="5" priority="28">
      <formula>AND(task_start&lt;=AC$6,ROUNDDOWN((task_end-task_start+1)*task_progress,0)+task_start-1&gt;=AC$6)</formula>
    </cfRule>
    <cfRule type="expression" dxfId="4" priority="29" stopIfTrue="1">
      <formula>AND(task_end&gt;=AC$6,task_start&lt;#REF!)</formula>
    </cfRule>
  </conditionalFormatting>
  <conditionalFormatting sqref="AC16:AC20">
    <cfRule type="expression" dxfId="3" priority="32">
      <formula>AND(task_start&lt;=AC$6,ROUNDDOWN((task_end-task_start+1)*task_progress,0)+task_start-1&gt;=AC$6)</formula>
    </cfRule>
    <cfRule type="expression" dxfId="2" priority="33" stopIfTrue="1">
      <formula>AND(task_end&gt;=AC$6,task_start&lt;#REF!)</formula>
    </cfRule>
  </conditionalFormatting>
  <conditionalFormatting sqref="AC22:AC26">
    <cfRule type="expression" dxfId="1" priority="36">
      <formula>AND(task_start&lt;=AC$6,ROUNDDOWN((task_end-task_start+1)*task_progress,0)+task_start-1&gt;=AC$6)</formula>
    </cfRule>
    <cfRule type="expression" dxfId="0" priority="37" stopIfTrue="1">
      <formula>AND(task_end&gt;=AC$6,task_start&lt;#REF!)</formula>
    </cfRule>
  </conditionalFormatting>
  <printOptions horizontalCentered="1"/>
  <pageMargins left="0.35" right="0.35" top="0.35" bottom="0.5" header="0.3" footer="0.3"/>
  <pageSetup scale="57" fitToHeight="0" orientation="landscape" r:id="rId1"/>
  <headerFooter differentFirst="1" scaleWithDoc="0">
    <oddFooter>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D8:D26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A09426A3-87E9-4865-8A6C-3456B026AE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245281-08F3-4104-84BD-39F3D8CFB1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2239A0-E68C-493F-BEE6-C77FEA397FD6}">
  <ds:schemaRefs>
    <ds:schemaRef ds:uri="http://purl.org/dc/elements/1.1/"/>
    <ds:schemaRef ds:uri="16c05727-aa75-4e4a-9b5f-8a80a1165891"/>
    <ds:schemaRef ds:uri="http://schemas.microsoft.com/sharepoint/v3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230e9df3-be65-4c73-a93b-d1236ebd677e"/>
    <ds:schemaRef ds:uri="http://schemas.microsoft.com/office/2006/metadata/properties"/>
    <ds:schemaRef ds:uri="71af3243-3dd4-4a8d-8c0d-dd76da1f02a5"/>
    <ds:schemaRef ds:uri="http://www.w3.org/XML/1998/namespace"/>
    <ds:schemaRef ds:uri="http://purl.org/dc/terms/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Project Schedule</vt:lpstr>
      <vt:lpstr>Display_Week</vt:lpstr>
      <vt:lpstr>'Project Schedule'!Print_Titles</vt:lpstr>
      <vt:lpstr>Project_Start</vt:lpstr>
      <vt:lpstr>'Project Schedule'!task_end</vt:lpstr>
      <vt:lpstr>'Project Schedule'!task_progress</vt:lpstr>
      <vt:lpstr>'Project Schedule'!task_start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Raykel Villar</dc:creator>
  <dc:description/>
  <cp:lastModifiedBy>Raykel Villar</cp:lastModifiedBy>
  <dcterms:created xsi:type="dcterms:W3CDTF">2022-03-11T22:41:12Z</dcterms:created>
  <dcterms:modified xsi:type="dcterms:W3CDTF">2026-04-26T01:29:54Z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