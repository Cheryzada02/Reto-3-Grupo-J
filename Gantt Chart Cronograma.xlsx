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3b979beda9c5651/Documentos/UASD/Semestre 2026-10/Progamacion 3/"/>
    </mc:Choice>
  </mc:AlternateContent>
  <xr:revisionPtr revIDLastSave="12" documentId="8_{10377103-9268-42CD-B802-50DE7F974AB6}" xr6:coauthVersionLast="47" xr6:coauthVersionMax="47" xr10:uidLastSave="{C3E080B5-14EF-4676-B6F8-03ED33CA5E86}"/>
  <bookViews>
    <workbookView xWindow="57480" yWindow="7650" windowWidth="29040" windowHeight="15720" xr2:uid="{00000000-000D-0000-FFFF-FFFF00000000}"/>
  </bookViews>
  <sheets>
    <sheet name="Project Schedule" sheetId="11" r:id="rId1"/>
  </sheets>
  <definedNames>
    <definedName name="Display_Week">'Project Schedule'!$Q$2</definedName>
    <definedName name="_xlnm.Print_Titles" localSheetId="0">'Project Schedule'!$6:$8</definedName>
    <definedName name="Project_Start">'Project Schedule'!$Q$1</definedName>
    <definedName name="task_end" localSheetId="0">'Project Schedule'!$F1</definedName>
    <definedName name="task_progress" localSheetId="0">'Project Schedule'!$D1</definedName>
    <definedName name="task_start" localSheetId="0">'Project Schedule'!$E1</definedName>
    <definedName name="today" localSheetId="0">TODAY()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1" l="1"/>
  <c r="D16" i="11"/>
  <c r="D15" i="11"/>
  <c r="D14" i="11"/>
  <c r="D13" i="11"/>
  <c r="D12" i="11"/>
  <c r="D11" i="11"/>
  <c r="H19" i="11"/>
  <c r="I7" i="11"/>
  <c r="I6" i="11" s="1"/>
  <c r="H9" i="11"/>
  <c r="H42" i="11" l="1"/>
  <c r="H18" i="11"/>
  <c r="H10" i="11"/>
  <c r="H43" i="11" l="1"/>
  <c r="H44" i="11"/>
  <c r="H11" i="11"/>
  <c r="I8" i="11"/>
  <c r="H47" i="11" l="1"/>
  <c r="H12" i="11"/>
  <c r="H45" i="11"/>
  <c r="H15" i="11"/>
  <c r="J7" i="11"/>
  <c r="K7" i="11" l="1"/>
  <c r="L7" i="11" s="1"/>
  <c r="M7" i="11" s="1"/>
  <c r="N7" i="11" s="1"/>
  <c r="O7" i="11" s="1"/>
  <c r="P7" i="11" s="1"/>
  <c r="P6" i="11" s="1"/>
  <c r="J8" i="11"/>
  <c r="H46" i="11"/>
  <c r="H20" i="11"/>
  <c r="H13" i="11"/>
  <c r="H14" i="11"/>
  <c r="Q7" i="11" l="1"/>
  <c r="R7" i="11" s="1"/>
  <c r="S7" i="11" s="1"/>
  <c r="T7" i="11" s="1"/>
  <c r="U7" i="11" s="1"/>
  <c r="V7" i="11" s="1"/>
  <c r="W7" i="11" s="1"/>
  <c r="W6" i="11" s="1"/>
  <c r="H41" i="11"/>
  <c r="H40" i="11"/>
  <c r="H21" i="11"/>
  <c r="K8" i="11"/>
  <c r="X7" i="11" l="1"/>
  <c r="Y7" i="11" s="1"/>
  <c r="Z7" i="11" s="1"/>
  <c r="AA7" i="11" s="1"/>
  <c r="AB7" i="11" s="1"/>
  <c r="AC7" i="11" s="1"/>
  <c r="L8" i="11"/>
  <c r="M8" i="11" l="1"/>
  <c r="N8" i="11" l="1"/>
  <c r="O8" i="11" l="1"/>
  <c r="P8" i="11" l="1"/>
  <c r="Q8" i="11"/>
  <c r="R8" i="11" l="1"/>
  <c r="S8" i="11" l="1"/>
  <c r="T8" i="11" l="1"/>
  <c r="U8" i="11" l="1"/>
  <c r="V8" i="11" l="1"/>
  <c r="W8" i="11" l="1"/>
  <c r="X8" i="11" l="1"/>
  <c r="Y8" i="11" l="1"/>
  <c r="Z8" i="11" l="1"/>
  <c r="AA8" i="11" l="1"/>
  <c r="AB8" i="11" l="1"/>
  <c r="AC8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Raykel Villar</author>
  </authors>
  <commentList>
    <comment ref="B31" authorId="0" shapeId="0" xr:uid="{CB5F8FE0-3A07-4DD7-9A6A-C9EB65374E0F}">
      <text>
        <r>
          <rPr>
            <b/>
            <sz val="9"/>
            <color indexed="81"/>
            <rFont val="Tahoma"/>
            <family val="2"/>
          </rPr>
          <t>Raykel Villar:</t>
        </r>
        <r>
          <rPr>
            <sz val="9"/>
            <color indexed="81"/>
            <rFont val="Tahoma"/>
            <family val="2"/>
          </rPr>
          <t xml:space="preserve">
Modificar Productos, Agregar nuevos, deshabilitar productos. Cambiar Roles.</t>
        </r>
      </text>
    </comment>
    <comment ref="B32" authorId="0" shapeId="0" xr:uid="{A3221A40-20FC-434F-8F6B-632DA2F27663}">
      <text>
        <r>
          <rPr>
            <b/>
            <sz val="9"/>
            <color indexed="81"/>
            <rFont val="Tahoma"/>
            <family val="2"/>
          </rPr>
          <t>Raykel Villar:</t>
        </r>
        <r>
          <rPr>
            <sz val="9"/>
            <color indexed="81"/>
            <rFont val="Tahoma"/>
            <family val="2"/>
          </rPr>
          <t xml:space="preserve">
Modificar Productos, Agregar nuevos, deshabilitar productos. Cambiar Roles.</t>
        </r>
      </text>
    </comment>
    <comment ref="B33" authorId="0" shapeId="0" xr:uid="{AB31A21F-8F32-4341-99B6-39E3A43DB709}">
      <text>
        <r>
          <rPr>
            <b/>
            <sz val="9"/>
            <color indexed="81"/>
            <rFont val="Tahoma"/>
            <family val="2"/>
          </rPr>
          <t>Raykel Villar:</t>
        </r>
        <r>
          <rPr>
            <sz val="9"/>
            <color indexed="81"/>
            <rFont val="Tahoma"/>
            <family val="2"/>
          </rPr>
          <t xml:space="preserve">
Modificar Productos, Agregar nuevos, deshabilitar productos. Cambiar Roles.</t>
        </r>
      </text>
    </comment>
  </commentList>
</comments>
</file>

<file path=xl/sharedStrings.xml><?xml version="1.0" encoding="utf-8"?>
<sst xmlns="http://schemas.openxmlformats.org/spreadsheetml/2006/main" count="75" uniqueCount="47">
  <si>
    <t xml:space="preserve">Do not delete this row. This row is hidden to preserve a formula that is used to highlight the current day within the project schedule. </t>
  </si>
  <si>
    <t>Display week:</t>
  </si>
  <si>
    <t>FerreteríaRD</t>
  </si>
  <si>
    <t>Tarea</t>
  </si>
  <si>
    <t>Progreso</t>
  </si>
  <si>
    <t>Inicio</t>
  </si>
  <si>
    <t>Fin</t>
  </si>
  <si>
    <t>Responsable</t>
  </si>
  <si>
    <t>Inicio Del Projecto</t>
  </si>
  <si>
    <t>Fin Del Projecto</t>
  </si>
  <si>
    <t>Planificación</t>
  </si>
  <si>
    <t>Prototipo Funcional</t>
  </si>
  <si>
    <t>Entrega final</t>
  </si>
  <si>
    <t>Raykel Villar</t>
  </si>
  <si>
    <t>Chery Viola</t>
  </si>
  <si>
    <t>Alfredo Feliz</t>
  </si>
  <si>
    <t>Creacion Repositorio Git-Hub</t>
  </si>
  <si>
    <t>Creacion de Diagrama De Gantt</t>
  </si>
  <si>
    <t>Visita al Negocio</t>
  </si>
  <si>
    <t>Todos</t>
  </si>
  <si>
    <t>A. Acta de Inicio del Proyecto (Project Charter)</t>
  </si>
  <si>
    <t>B. Estructura de Desglose del Trabajo (EDT / WBS)</t>
  </si>
  <si>
    <t>Reunion Virtual Google Meets</t>
  </si>
  <si>
    <t>Paginas Login y Registro HTML</t>
  </si>
  <si>
    <t>Paginas Login y Registro CSS</t>
  </si>
  <si>
    <t>Paginas Login y Registro Backend</t>
  </si>
  <si>
    <t>Crear Roles Backend</t>
  </si>
  <si>
    <t>Base Datos</t>
  </si>
  <si>
    <t>Pagina De Inicio HTML</t>
  </si>
  <si>
    <t>Pagina De Inicio CSS</t>
  </si>
  <si>
    <t>Pagina De Inicio Backend</t>
  </si>
  <si>
    <t>Pagina Lista de Favoritos HTML</t>
  </si>
  <si>
    <t>Pagina Lista de Favoritos CSS</t>
  </si>
  <si>
    <t>Pagina Lista de Favoritos Backend</t>
  </si>
  <si>
    <t>Pagina Administrador HTML</t>
  </si>
  <si>
    <t>Pagina Administrador CSS</t>
  </si>
  <si>
    <t>Pagina Administrador Backend</t>
  </si>
  <si>
    <t>Crear React App</t>
  </si>
  <si>
    <t>Pagina Ordenes HTML</t>
  </si>
  <si>
    <t>Pagina Ordenes CSS</t>
  </si>
  <si>
    <t>Pagina Ordenes Backend</t>
  </si>
  <si>
    <t>Pagina Articulos HTML</t>
  </si>
  <si>
    <t>Pagina Articulos CSS</t>
  </si>
  <si>
    <t>Pagina Articulos Backend</t>
  </si>
  <si>
    <t>Pagina De Departamentos HTML (Opcional)</t>
  </si>
  <si>
    <t>Pagina De Departamentos CSS (Optional)</t>
  </si>
  <si>
    <t>Pagina De Departamentos Backend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</si>
</sst>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m/d/yy;@"/>
    <numFmt numFmtId="165" formatCode="ddd\,\ m/d/yyyy"/>
    <numFmt numFmtId="166" formatCode="mmm\ d\,\ yyyy"/>
    <numFmt numFmtId="167" formatCode="d"/>
  </numFmts>
  <fonts count="30" x14ac:knownFonts="1"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22"/>
      <color theme="1" tint="0.34998626667073579"/>
      <name val="Arial Black"/>
      <family val="2"/>
      <scheme val="major"/>
    </font>
    <font>
      <b/>
      <sz val="11"/>
      <color theme="1" tint="0.499984740745262"/>
      <name val="Arial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Arial"/>
      <family val="2"/>
      <scheme val="minor"/>
    </font>
    <font>
      <sz val="10"/>
      <name val="Arial"/>
      <family val="2"/>
    </font>
    <font>
      <b/>
      <sz val="20"/>
      <color theme="4" tint="-0.249977111117893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8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9"/>
      <name val="Arial"/>
      <family val="2"/>
      <scheme val="minor"/>
    </font>
    <font>
      <b/>
      <sz val="40"/>
      <color theme="9"/>
      <name val="Arial Black"/>
      <family val="2"/>
      <scheme val="major"/>
    </font>
    <font>
      <b/>
      <sz val="16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16"/>
      <color theme="0"/>
      <name val="Arial Black"/>
      <family val="2"/>
      <scheme val="major"/>
    </font>
    <font>
      <sz val="11"/>
      <color theme="0"/>
      <name val="Arial Black"/>
      <family val="2"/>
      <scheme val="major"/>
    </font>
    <font>
      <b/>
      <sz val="14"/>
      <color theme="9"/>
      <name val="Arial"/>
      <family val="2"/>
      <scheme val="minor"/>
    </font>
    <font>
      <b/>
      <sz val="14"/>
      <color theme="9"/>
      <name val="Arial Black"/>
      <family val="2"/>
      <scheme val="major"/>
    </font>
    <font>
      <sz val="14"/>
      <color theme="1"/>
      <name val="Arial Black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0" tint="-0.149967955565050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5" tint="0.59996337778862885"/>
      </top>
      <bottom style="thin">
        <color theme="5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9" fillId="0" borderId="0"/>
    <xf numFmtId="43" fontId="4" fillId="0" borderId="2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indent="1"/>
    </xf>
    <xf numFmtId="165" fontId="4" fillId="0" borderId="2">
      <alignment horizontal="center" vertical="center"/>
    </xf>
    <xf numFmtId="164" fontId="4" fillId="0" borderId="1" applyFill="0">
      <alignment horizontal="center" vertical="center"/>
    </xf>
    <xf numFmtId="0" fontId="4" fillId="0" borderId="1" applyFill="0">
      <alignment horizontal="center" vertical="center"/>
    </xf>
    <xf numFmtId="0" fontId="4" fillId="0" borderId="1" applyFill="0">
      <alignment horizontal="left" vertical="center" indent="2"/>
    </xf>
  </cellStyleXfs>
  <cellXfs count="9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8" fillId="0" borderId="0" xfId="1" applyFont="1" applyAlignment="1" applyProtection="1"/>
    <xf numFmtId="0" fontId="3" fillId="0" borderId="1" xfId="0" applyFont="1" applyBorder="1" applyAlignment="1">
      <alignment horizontal="center" vertical="center"/>
    </xf>
    <xf numFmtId="0" fontId="9" fillId="0" borderId="0" xfId="3"/>
    <xf numFmtId="0" fontId="9" fillId="0" borderId="0" xfId="3" applyAlignment="1">
      <alignment wrapText="1"/>
    </xf>
    <xf numFmtId="0" fontId="9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4" fillId="0" borderId="0" xfId="0" applyFont="1"/>
    <xf numFmtId="0" fontId="4" fillId="0" borderId="0" xfId="8">
      <alignment horizontal="right" indent="1"/>
    </xf>
    <xf numFmtId="0" fontId="4" fillId="0" borderId="0" xfId="0" applyFont="1" applyAlignment="1">
      <alignment horizontal="center"/>
    </xf>
    <xf numFmtId="0" fontId="1" fillId="0" borderId="0" xfId="1" applyFont="1" applyAlignment="1" applyProtection="1">
      <alignment horizontal="left" vertical="top" indent="1"/>
    </xf>
    <xf numFmtId="0" fontId="4" fillId="0" borderId="0" xfId="0" applyFont="1" applyAlignment="1">
      <alignment horizontal="left" indent="1"/>
    </xf>
    <xf numFmtId="167" fontId="16" fillId="10" borderId="17" xfId="0" applyNumberFormat="1" applyFont="1" applyFill="1" applyBorder="1" applyAlignment="1">
      <alignment horizontal="center" vertical="center"/>
    </xf>
    <xf numFmtId="167" fontId="16" fillId="10" borderId="15" xfId="0" applyNumberFormat="1" applyFont="1" applyFill="1" applyBorder="1" applyAlignment="1">
      <alignment horizontal="center" vertical="center"/>
    </xf>
    <xf numFmtId="167" fontId="16" fillId="10" borderId="16" xfId="0" applyNumberFormat="1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 shrinkToFit="1"/>
    </xf>
    <xf numFmtId="0" fontId="17" fillId="2" borderId="12" xfId="0" applyFont="1" applyFill="1" applyBorder="1" applyAlignment="1">
      <alignment horizontal="center" vertical="center" shrinkToFit="1"/>
    </xf>
    <xf numFmtId="0" fontId="14" fillId="0" borderId="0" xfId="0" applyFont="1"/>
    <xf numFmtId="0" fontId="14" fillId="0" borderId="0" xfId="0" applyFont="1" applyAlignment="1">
      <alignment wrapText="1"/>
    </xf>
    <xf numFmtId="0" fontId="4" fillId="0" borderId="3" xfId="0" applyFont="1" applyBorder="1" applyAlignment="1">
      <alignment vertical="center"/>
    </xf>
    <xf numFmtId="0" fontId="18" fillId="6" borderId="0" xfId="0" applyFont="1" applyFill="1" applyAlignment="1">
      <alignment horizontal="left" vertical="center" indent="1"/>
    </xf>
    <xf numFmtId="0" fontId="14" fillId="6" borderId="0" xfId="11" applyFont="1" applyFill="1" applyBorder="1" applyAlignment="1">
      <alignment vertical="center"/>
    </xf>
    <xf numFmtId="9" fontId="1" fillId="6" borderId="0" xfId="2" applyFont="1" applyFill="1" applyBorder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3" borderId="6" xfId="12" applyFont="1" applyFill="1" applyBorder="1">
      <alignment horizontal="left" vertical="center" indent="2"/>
    </xf>
    <xf numFmtId="9" fontId="1" fillId="3" borderId="6" xfId="2" applyFont="1" applyFill="1" applyBorder="1" applyAlignment="1">
      <alignment horizontal="center" vertical="center"/>
    </xf>
    <xf numFmtId="164" fontId="14" fillId="3" borderId="6" xfId="10" applyFont="1" applyFill="1" applyBorder="1">
      <alignment horizontal="center" vertical="center"/>
    </xf>
    <xf numFmtId="0" fontId="4" fillId="0" borderId="4" xfId="0" applyFont="1" applyBorder="1" applyAlignment="1">
      <alignment vertical="center"/>
    </xf>
    <xf numFmtId="0" fontId="14" fillId="3" borderId="7" xfId="12" applyFont="1" applyFill="1" applyBorder="1">
      <alignment horizontal="left" vertical="center" indent="2"/>
    </xf>
    <xf numFmtId="9" fontId="1" fillId="3" borderId="7" xfId="2" applyFont="1" applyFill="1" applyBorder="1" applyAlignment="1">
      <alignment horizontal="center" vertical="center"/>
    </xf>
    <xf numFmtId="164" fontId="14" fillId="3" borderId="7" xfId="10" applyFont="1" applyFill="1" applyBorder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18" fillId="7" borderId="0" xfId="0" applyFont="1" applyFill="1" applyAlignment="1">
      <alignment horizontal="left" vertical="center" indent="1"/>
    </xf>
    <xf numFmtId="0" fontId="14" fillId="7" borderId="0" xfId="11" applyFont="1" applyFill="1" applyBorder="1" applyAlignment="1">
      <alignment vertical="center"/>
    </xf>
    <xf numFmtId="9" fontId="1" fillId="7" borderId="0" xfId="2" applyFont="1" applyFill="1" applyBorder="1" applyAlignment="1">
      <alignment horizontal="center" vertical="center"/>
    </xf>
    <xf numFmtId="164" fontId="14" fillId="7" borderId="0" xfId="0" applyNumberFormat="1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0" fontId="14" fillId="4" borderId="5" xfId="12" applyFont="1" applyFill="1" applyBorder="1">
      <alignment horizontal="left" vertical="center" indent="2"/>
    </xf>
    <xf numFmtId="0" fontId="14" fillId="4" borderId="5" xfId="11" applyFont="1" applyFill="1" applyBorder="1" applyAlignment="1">
      <alignment vertical="center"/>
    </xf>
    <xf numFmtId="9" fontId="1" fillId="4" borderId="5" xfId="2" applyFont="1" applyFill="1" applyBorder="1" applyAlignment="1">
      <alignment horizontal="center" vertical="center"/>
    </xf>
    <xf numFmtId="164" fontId="14" fillId="4" borderId="5" xfId="10" applyFont="1" applyFill="1" applyBorder="1">
      <alignment horizontal="center" vertical="center"/>
    </xf>
    <xf numFmtId="0" fontId="18" fillId="8" borderId="0" xfId="0" applyFont="1" applyFill="1" applyAlignment="1">
      <alignment horizontal="left" vertical="center" indent="1"/>
    </xf>
    <xf numFmtId="0" fontId="14" fillId="8" borderId="0" xfId="11" applyFont="1" applyFill="1" applyBorder="1" applyAlignment="1">
      <alignment vertical="center"/>
    </xf>
    <xf numFmtId="9" fontId="1" fillId="8" borderId="0" xfId="2" applyFont="1" applyFill="1" applyBorder="1" applyAlignment="1">
      <alignment horizontal="center" vertical="center"/>
    </xf>
    <xf numFmtId="164" fontId="14" fillId="8" borderId="0" xfId="0" applyNumberFormat="1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4" fillId="5" borderId="8" xfId="12" applyFont="1" applyFill="1" applyBorder="1">
      <alignment horizontal="left" vertical="center" indent="2"/>
    </xf>
    <xf numFmtId="0" fontId="14" fillId="5" borderId="8" xfId="11" applyFont="1" applyFill="1" applyBorder="1" applyAlignment="1">
      <alignment vertical="center"/>
    </xf>
    <xf numFmtId="9" fontId="1" fillId="5" borderId="8" xfId="2" applyFont="1" applyFill="1" applyBorder="1" applyAlignment="1">
      <alignment horizontal="center" vertical="center"/>
    </xf>
    <xf numFmtId="164" fontId="14" fillId="5" borderId="8" xfId="10" applyFont="1" applyFill="1" applyBorder="1">
      <alignment horizontal="center" vertical="center"/>
    </xf>
    <xf numFmtId="0" fontId="19" fillId="0" borderId="0" xfId="7" applyFont="1" applyAlignment="1">
      <alignment horizontal="left" vertical="center" indent="1"/>
    </xf>
    <xf numFmtId="0" fontId="20" fillId="0" borderId="0" xfId="5" applyFont="1" applyAlignment="1">
      <alignment horizontal="left"/>
    </xf>
    <xf numFmtId="0" fontId="22" fillId="0" borderId="0" xfId="0" applyFont="1"/>
    <xf numFmtId="0" fontId="19" fillId="0" borderId="0" xfId="6" applyFont="1" applyAlignment="1">
      <alignment horizontal="center" vertical="center"/>
    </xf>
    <xf numFmtId="0" fontId="14" fillId="3" borderId="0" xfId="12" applyFont="1" applyFill="1" applyBorder="1">
      <alignment horizontal="left" vertical="center" indent="2"/>
    </xf>
    <xf numFmtId="9" fontId="1" fillId="3" borderId="0" xfId="2" applyFont="1" applyFill="1" applyBorder="1" applyAlignment="1">
      <alignment horizontal="center" vertical="center"/>
    </xf>
    <xf numFmtId="164" fontId="14" fillId="3" borderId="0" xfId="10" applyFont="1" applyFill="1" applyBorder="1">
      <alignment horizontal="center" vertical="center"/>
    </xf>
    <xf numFmtId="0" fontId="14" fillId="3" borderId="6" xfId="11" applyFont="1" applyFill="1" applyBorder="1">
      <alignment horizontal="center" vertical="center"/>
    </xf>
    <xf numFmtId="0" fontId="14" fillId="3" borderId="7" xfId="11" applyFont="1" applyFill="1" applyBorder="1">
      <alignment horizontal="center" vertical="center"/>
    </xf>
    <xf numFmtId="0" fontId="14" fillId="3" borderId="0" xfId="11" applyFont="1" applyFill="1" applyBorder="1">
      <alignment horizontal="center" vertical="center"/>
    </xf>
    <xf numFmtId="166" fontId="14" fillId="2" borderId="15" xfId="0" applyNumberFormat="1" applyFont="1" applyFill="1" applyBorder="1" applyAlignment="1">
      <alignment horizontal="center" vertical="center" wrapText="1"/>
    </xf>
    <xf numFmtId="166" fontId="14" fillId="2" borderId="11" xfId="0" applyNumberFormat="1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/>
    </xf>
    <xf numFmtId="0" fontId="4" fillId="2" borderId="18" xfId="0" applyFont="1" applyFill="1" applyBorder="1"/>
    <xf numFmtId="0" fontId="23" fillId="0" borderId="0" xfId="0" applyFont="1" applyAlignment="1">
      <alignment horizontal="left"/>
    </xf>
    <xf numFmtId="0" fontId="24" fillId="0" borderId="0" xfId="0" applyFont="1"/>
    <xf numFmtId="165" fontId="26" fillId="0" borderId="0" xfId="9" applyFont="1" applyBorder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8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21" fillId="0" borderId="0" xfId="8" applyFont="1" applyAlignment="1">
      <alignment horizontal="left"/>
    </xf>
    <xf numFmtId="0" fontId="9" fillId="0" borderId="0" xfId="0" applyFont="1"/>
    <xf numFmtId="0" fontId="9" fillId="0" borderId="0" xfId="3" applyAlignment="1">
      <alignment wrapText="1"/>
    </xf>
    <xf numFmtId="0" fontId="15" fillId="9" borderId="13" xfId="0" applyFont="1" applyFill="1" applyBorder="1" applyAlignment="1">
      <alignment horizontal="left" vertical="center" indent="1"/>
    </xf>
    <xf numFmtId="0" fontId="4" fillId="2" borderId="18" xfId="0" applyFont="1" applyFill="1" applyBorder="1" applyAlignment="1">
      <alignment horizontal="left" indent="1"/>
    </xf>
    <xf numFmtId="0" fontId="15" fillId="9" borderId="13" xfId="0" applyFont="1" applyFill="1" applyBorder="1" applyAlignment="1">
      <alignment vertical="center"/>
    </xf>
    <xf numFmtId="0" fontId="14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3">
    <cellStyle name="Comma" xfId="4" builtinId="3" customBuiltin="1"/>
    <cellStyle name="Date" xfId="10" xr:uid="{229918B6-DD13-4F5A-97B9-305F7E002AA3}"/>
    <cellStyle name="Heading 1" xfId="6" builtinId="16" customBuiltin="1"/>
    <cellStyle name="Heading 2" xfId="7" builtinId="17" customBuiltin="1"/>
    <cellStyle name="Heading 3" xfId="8" builtinId="18" customBuiltin="1"/>
    <cellStyle name="Hyperlink" xfId="1" builtinId="8" customBuiltin="1"/>
    <cellStyle name="Name" xfId="11" xr:uid="{B2D3C1EE-6B41-4801-AAFC-C2274E49E503}"/>
    <cellStyle name="Normal" xfId="0" builtinId="0"/>
    <cellStyle name="Percent" xfId="2" builtinId="5"/>
    <cellStyle name="Project Start" xfId="9" xr:uid="{8EB8A09A-C31C-40A3-B2C1-9449520178B8}"/>
    <cellStyle name="Task" xfId="12" xr:uid="{6391D789-272B-4DD2-9BF3-2CDCF610FA41}"/>
    <cellStyle name="Title" xfId="5" builtinId="15" customBuiltin="1"/>
    <cellStyle name="zHiddenText" xfId="3" xr:uid="{26E66EE6-E33F-4D77-BAE4-0FB4F5BBF673}"/>
  </cellStyles>
  <dxfs count="23">
    <dxf>
      <fill>
        <patternFill>
          <bgColor theme="6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6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4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9" tint="0.79998168889431442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fill>
        <patternFill>
          <bgColor theme="6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6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  <border>
        <left/>
        <right/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4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9" tint="0.79998168889431442"/>
        </patternFill>
      </fill>
      <border>
        <left style="thin">
          <color theme="5"/>
        </left>
        <right style="thin">
          <color theme="5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secondRowStripe" dxfId="16"/>
      <tableStyleElement type="firstColumnStripe" dxfId="15"/>
      <tableStyleElement type="secondColumnStripe" dxfId="1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50"/>
  <sheetViews>
    <sheetView showGridLines="0" tabSelected="1" showRuler="0" topLeftCell="A30" zoomScaleNormal="100" zoomScalePageLayoutView="70" workbookViewId="0">
      <selection activeCell="E41" sqref="E41"/>
    </sheetView>
  </sheetViews>
  <sheetFormatPr defaultColWidth="8.6640625" defaultRowHeight="30" customHeight="1" x14ac:dyDescent="0.3"/>
  <cols>
    <col min="1" max="1" width="4.58203125" style="6" customWidth="1"/>
    <col min="2" max="2" width="44.33203125" customWidth="1"/>
    <col min="3" max="3" width="16.6640625" customWidth="1"/>
    <col min="4" max="4" width="10.6640625" customWidth="1"/>
    <col min="5" max="5" width="10.6640625" style="2" customWidth="1"/>
    <col min="6" max="6" width="10.6640625" customWidth="1"/>
    <col min="7" max="7" width="2.6640625" customWidth="1"/>
    <col min="8" max="8" width="6" hidden="1" customWidth="1"/>
    <col min="9" max="29" width="4.08203125" customWidth="1"/>
  </cols>
  <sheetData>
    <row r="1" spans="1:29" ht="90" customHeight="1" x14ac:dyDescent="1.7">
      <c r="A1" s="7"/>
      <c r="B1" s="66" t="s">
        <v>2</v>
      </c>
      <c r="C1" s="11"/>
      <c r="D1" s="12"/>
      <c r="E1" s="13"/>
      <c r="F1" s="14"/>
      <c r="H1" s="1"/>
      <c r="I1" s="83" t="s">
        <v>8</v>
      </c>
      <c r="J1" s="84"/>
      <c r="K1" s="84"/>
      <c r="L1" s="84"/>
      <c r="M1" s="84"/>
      <c r="N1" s="84"/>
      <c r="O1" s="84"/>
      <c r="P1" s="17"/>
      <c r="Q1" s="81">
        <v>46130</v>
      </c>
      <c r="R1" s="82"/>
      <c r="S1" s="82"/>
      <c r="T1" s="82"/>
      <c r="U1" s="82"/>
      <c r="V1" s="82"/>
      <c r="W1" s="82"/>
      <c r="X1" s="82"/>
      <c r="Y1" s="82"/>
      <c r="Z1" s="82"/>
    </row>
    <row r="2" spans="1:29" ht="30" customHeight="1" x14ac:dyDescent="0.7">
      <c r="B2" s="68" t="s">
        <v>13</v>
      </c>
      <c r="C2" s="65"/>
      <c r="D2" s="15"/>
      <c r="E2" s="16"/>
      <c r="F2" s="15"/>
      <c r="I2" s="85" t="s">
        <v>1</v>
      </c>
      <c r="J2" s="86"/>
      <c r="K2" s="86"/>
      <c r="L2" s="86"/>
      <c r="M2" s="86"/>
      <c r="N2" s="86"/>
      <c r="O2" s="86"/>
      <c r="P2" s="67"/>
      <c r="Q2" s="79">
        <v>2</v>
      </c>
      <c r="R2" s="80"/>
      <c r="S2" s="80"/>
      <c r="T2" s="80"/>
      <c r="U2" s="80"/>
      <c r="V2" s="80"/>
      <c r="W2" s="80"/>
      <c r="X2" s="80"/>
      <c r="Y2" s="80"/>
      <c r="Z2" s="80"/>
    </row>
    <row r="3" spans="1:29" s="18" customFormat="1" ht="44.5" customHeight="1" x14ac:dyDescent="0.3">
      <c r="A3" s="6"/>
      <c r="B3" s="68" t="s">
        <v>15</v>
      </c>
      <c r="D3" s="19"/>
      <c r="E3" s="20"/>
      <c r="I3" s="83" t="s">
        <v>9</v>
      </c>
      <c r="J3" s="84"/>
      <c r="K3" s="84"/>
      <c r="L3" s="84"/>
      <c r="M3" s="84"/>
      <c r="N3" s="84"/>
      <c r="O3" s="84"/>
      <c r="Q3" s="81">
        <v>46150</v>
      </c>
      <c r="R3" s="82"/>
      <c r="S3" s="82"/>
      <c r="T3" s="82"/>
      <c r="U3" s="82"/>
      <c r="V3" s="82"/>
      <c r="W3" s="82"/>
      <c r="X3" s="82"/>
      <c r="Y3" s="82"/>
      <c r="Z3" s="82"/>
    </row>
    <row r="4" spans="1:29" s="18" customFormat="1" ht="30" customHeight="1" x14ac:dyDescent="0.3">
      <c r="A4" s="6"/>
      <c r="B4" s="68" t="s">
        <v>14</v>
      </c>
      <c r="D4" s="19"/>
      <c r="E4" s="20"/>
    </row>
    <row r="5" spans="1:29" s="18" customFormat="1" ht="30" customHeight="1" x14ac:dyDescent="0.3">
      <c r="A5" s="6"/>
      <c r="B5" s="68" t="s">
        <v>19</v>
      </c>
      <c r="D5" s="19"/>
      <c r="E5" s="20"/>
    </row>
    <row r="6" spans="1:29" s="18" customFormat="1" ht="30" customHeight="1" x14ac:dyDescent="0.3">
      <c r="A6" s="7"/>
      <c r="B6" s="21"/>
      <c r="E6" s="22"/>
      <c r="I6" s="75">
        <f>I7</f>
        <v>46130</v>
      </c>
      <c r="J6" s="76"/>
      <c r="K6" s="76"/>
      <c r="L6" s="76"/>
      <c r="M6" s="76"/>
      <c r="N6" s="76"/>
      <c r="O6" s="76"/>
      <c r="P6" s="76">
        <f>P7</f>
        <v>46137</v>
      </c>
      <c r="Q6" s="76"/>
      <c r="R6" s="76"/>
      <c r="S6" s="76"/>
      <c r="T6" s="76"/>
      <c r="U6" s="76"/>
      <c r="V6" s="76"/>
      <c r="W6" s="76">
        <f>W7</f>
        <v>46144</v>
      </c>
      <c r="X6" s="76"/>
      <c r="Y6" s="76"/>
      <c r="Z6" s="76"/>
      <c r="AA6" s="76"/>
      <c r="AB6" s="76"/>
      <c r="AC6" s="76"/>
    </row>
    <row r="7" spans="1:29" s="18" customFormat="1" ht="15" customHeight="1" x14ac:dyDescent="0.3">
      <c r="A7" s="87"/>
      <c r="B7" s="88" t="s">
        <v>3</v>
      </c>
      <c r="C7" s="90" t="s">
        <v>7</v>
      </c>
      <c r="D7" s="77" t="s">
        <v>4</v>
      </c>
      <c r="E7" s="77" t="s">
        <v>5</v>
      </c>
      <c r="F7" s="77" t="s">
        <v>6</v>
      </c>
      <c r="I7" s="23">
        <f>Project_Start-WEEKDAY(Project_Start,16)*(Display_Week-1)+1</f>
        <v>46130</v>
      </c>
      <c r="J7" s="23">
        <f>I7+1</f>
        <v>46131</v>
      </c>
      <c r="K7" s="23">
        <f t="shared" ref="K7:AC7" si="0">J7+1</f>
        <v>46132</v>
      </c>
      <c r="L7" s="23">
        <f t="shared" si="0"/>
        <v>46133</v>
      </c>
      <c r="M7" s="23">
        <f t="shared" si="0"/>
        <v>46134</v>
      </c>
      <c r="N7" s="23">
        <f t="shared" si="0"/>
        <v>46135</v>
      </c>
      <c r="O7" s="24">
        <f t="shared" si="0"/>
        <v>46136</v>
      </c>
      <c r="P7" s="25">
        <f>O7+1</f>
        <v>46137</v>
      </c>
      <c r="Q7" s="23">
        <f>P7+1</f>
        <v>46138</v>
      </c>
      <c r="R7" s="23">
        <f t="shared" si="0"/>
        <v>46139</v>
      </c>
      <c r="S7" s="23">
        <f t="shared" si="0"/>
        <v>46140</v>
      </c>
      <c r="T7" s="23">
        <f t="shared" si="0"/>
        <v>46141</v>
      </c>
      <c r="U7" s="23">
        <f t="shared" si="0"/>
        <v>46142</v>
      </c>
      <c r="V7" s="24">
        <f t="shared" si="0"/>
        <v>46143</v>
      </c>
      <c r="W7" s="25">
        <f>V7+1</f>
        <v>46144</v>
      </c>
      <c r="X7" s="23">
        <f>W7+1</f>
        <v>46145</v>
      </c>
      <c r="Y7" s="23">
        <f t="shared" si="0"/>
        <v>46146</v>
      </c>
      <c r="Z7" s="23">
        <f t="shared" si="0"/>
        <v>46147</v>
      </c>
      <c r="AA7" s="23">
        <f t="shared" si="0"/>
        <v>46148</v>
      </c>
      <c r="AB7" s="23">
        <f t="shared" si="0"/>
        <v>46149</v>
      </c>
      <c r="AC7" s="24">
        <f t="shared" si="0"/>
        <v>46150</v>
      </c>
    </row>
    <row r="8" spans="1:29" s="18" customFormat="1" ht="15" customHeight="1" thickBot="1" x14ac:dyDescent="0.35">
      <c r="A8" s="87"/>
      <c r="B8" s="89"/>
      <c r="C8" s="78"/>
      <c r="D8" s="78"/>
      <c r="E8" s="78"/>
      <c r="F8" s="78"/>
      <c r="I8" s="26" t="str">
        <f t="shared" ref="I8:AC8" si="1">LEFT(TEXT(I7,"ddd"),1)</f>
        <v>S</v>
      </c>
      <c r="J8" s="27" t="str">
        <f t="shared" si="1"/>
        <v>S</v>
      </c>
      <c r="K8" s="27" t="str">
        <f t="shared" si="1"/>
        <v>M</v>
      </c>
      <c r="L8" s="27" t="str">
        <f t="shared" si="1"/>
        <v>T</v>
      </c>
      <c r="M8" s="27" t="str">
        <f t="shared" si="1"/>
        <v>W</v>
      </c>
      <c r="N8" s="27" t="str">
        <f t="shared" si="1"/>
        <v>T</v>
      </c>
      <c r="O8" s="27" t="str">
        <f t="shared" si="1"/>
        <v>F</v>
      </c>
      <c r="P8" s="27" t="str">
        <f t="shared" si="1"/>
        <v>S</v>
      </c>
      <c r="Q8" s="27" t="str">
        <f t="shared" si="1"/>
        <v>S</v>
      </c>
      <c r="R8" s="27" t="str">
        <f t="shared" si="1"/>
        <v>M</v>
      </c>
      <c r="S8" s="27" t="str">
        <f t="shared" si="1"/>
        <v>T</v>
      </c>
      <c r="T8" s="27" t="str">
        <f t="shared" si="1"/>
        <v>W</v>
      </c>
      <c r="U8" s="27" t="str">
        <f t="shared" si="1"/>
        <v>T</v>
      </c>
      <c r="V8" s="27" t="str">
        <f t="shared" si="1"/>
        <v>F</v>
      </c>
      <c r="W8" s="27" t="str">
        <f t="shared" si="1"/>
        <v>S</v>
      </c>
      <c r="X8" s="27" t="str">
        <f t="shared" si="1"/>
        <v>S</v>
      </c>
      <c r="Y8" s="27" t="str">
        <f t="shared" si="1"/>
        <v>M</v>
      </c>
      <c r="Z8" s="27" t="str">
        <f t="shared" si="1"/>
        <v>T</v>
      </c>
      <c r="AA8" s="27" t="str">
        <f t="shared" si="1"/>
        <v>W</v>
      </c>
      <c r="AB8" s="27" t="str">
        <f t="shared" si="1"/>
        <v>T</v>
      </c>
      <c r="AC8" s="27" t="str">
        <f t="shared" si="1"/>
        <v>F</v>
      </c>
    </row>
    <row r="9" spans="1:29" s="18" customFormat="1" ht="30" hidden="1" customHeight="1" thickBot="1" x14ac:dyDescent="0.35">
      <c r="A9" s="6" t="s">
        <v>0</v>
      </c>
      <c r="B9" s="28"/>
      <c r="C9" s="29"/>
      <c r="D9" s="28"/>
      <c r="E9" s="28"/>
      <c r="F9" s="28"/>
      <c r="H9" s="18" t="str">
        <f>IF(OR(ISBLANK(task_start),ISBLANK(task_end)),"",task_end-task_start+1)</f>
        <v/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 s="37" customFormat="1" ht="30" customHeight="1" thickBot="1" x14ac:dyDescent="0.35">
      <c r="A10" s="7"/>
      <c r="B10" s="31" t="s">
        <v>10</v>
      </c>
      <c r="C10" s="32"/>
      <c r="D10" s="33"/>
      <c r="E10" s="34"/>
      <c r="F10" s="35"/>
      <c r="G10" s="10"/>
      <c r="H10" s="5" t="str">
        <f t="shared" ref="H10:H47" si="2">IF(OR(ISBLANK(task_start),ISBLANK(task_end)),"",task_end-task_start+1)</f>
        <v/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</row>
    <row r="11" spans="1:29" s="37" customFormat="1" ht="30" customHeight="1" thickBot="1" x14ac:dyDescent="0.35">
      <c r="A11" s="91" t="b">
        <v>1</v>
      </c>
      <c r="B11" s="38" t="s">
        <v>16</v>
      </c>
      <c r="C11" s="72" t="s">
        <v>14</v>
      </c>
      <c r="D11" s="39">
        <f>IF(A11, 100%, 0%)</f>
        <v>1</v>
      </c>
      <c r="E11" s="40">
        <v>46132</v>
      </c>
      <c r="F11" s="40">
        <v>46132</v>
      </c>
      <c r="G11" s="10"/>
      <c r="H11" s="5">
        <f t="shared" si="2"/>
        <v>1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</row>
    <row r="12" spans="1:29" s="37" customFormat="1" ht="30" customHeight="1" thickBot="1" x14ac:dyDescent="0.35">
      <c r="A12" s="91" t="b">
        <v>0</v>
      </c>
      <c r="B12" s="42" t="s">
        <v>17</v>
      </c>
      <c r="C12" s="73" t="s">
        <v>13</v>
      </c>
      <c r="D12" s="43">
        <f t="shared" ref="D12:D17" si="3">IF(A12, 100%, 0%)</f>
        <v>0</v>
      </c>
      <c r="E12" s="44">
        <v>46133</v>
      </c>
      <c r="F12" s="44">
        <v>46143</v>
      </c>
      <c r="G12" s="10"/>
      <c r="H12" s="5">
        <f t="shared" si="2"/>
        <v>11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5"/>
      <c r="V12" s="45"/>
      <c r="W12" s="41"/>
      <c r="X12" s="41"/>
      <c r="Y12" s="41"/>
      <c r="Z12" s="41"/>
      <c r="AA12" s="41"/>
      <c r="AB12" s="41"/>
      <c r="AC12" s="41"/>
    </row>
    <row r="13" spans="1:29" s="37" customFormat="1" ht="30" customHeight="1" thickBot="1" x14ac:dyDescent="0.35">
      <c r="A13" s="91" t="b">
        <v>0</v>
      </c>
      <c r="B13" s="42" t="s">
        <v>18</v>
      </c>
      <c r="C13" s="73" t="s">
        <v>19</v>
      </c>
      <c r="D13" s="43">
        <f t="shared" si="3"/>
        <v>0</v>
      </c>
      <c r="E13" s="44"/>
      <c r="F13" s="44"/>
      <c r="G13" s="10"/>
      <c r="H13" s="5" t="str">
        <f t="shared" si="2"/>
        <v/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</row>
    <row r="14" spans="1:29" s="37" customFormat="1" ht="30" customHeight="1" thickBot="1" x14ac:dyDescent="0.35">
      <c r="A14" s="91" t="b">
        <v>0</v>
      </c>
      <c r="B14" s="42" t="s">
        <v>20</v>
      </c>
      <c r="C14" s="73"/>
      <c r="D14" s="43">
        <f t="shared" si="3"/>
        <v>0</v>
      </c>
      <c r="E14" s="44">
        <v>46137</v>
      </c>
      <c r="F14" s="44">
        <v>46143</v>
      </c>
      <c r="G14" s="10"/>
      <c r="H14" s="5">
        <f t="shared" si="2"/>
        <v>7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5"/>
      <c r="Z14" s="41"/>
      <c r="AA14" s="41"/>
      <c r="AB14" s="41"/>
      <c r="AC14" s="41"/>
    </row>
    <row r="15" spans="1:29" s="37" customFormat="1" ht="30" customHeight="1" thickBot="1" x14ac:dyDescent="0.35">
      <c r="A15" s="91" t="b">
        <v>0</v>
      </c>
      <c r="B15" s="42" t="s">
        <v>21</v>
      </c>
      <c r="C15" s="73"/>
      <c r="D15" s="43">
        <f t="shared" si="3"/>
        <v>0</v>
      </c>
      <c r="E15" s="44">
        <v>46137</v>
      </c>
      <c r="F15" s="44">
        <v>46143</v>
      </c>
      <c r="G15" s="10"/>
      <c r="H15" s="5">
        <f t="shared" si="2"/>
        <v>7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</row>
    <row r="16" spans="1:29" s="37" customFormat="1" ht="30" customHeight="1" thickBot="1" x14ac:dyDescent="0.35">
      <c r="A16" s="91" t="b">
        <v>1</v>
      </c>
      <c r="B16" s="69" t="s">
        <v>22</v>
      </c>
      <c r="C16" s="74" t="s">
        <v>19</v>
      </c>
      <c r="D16" s="70">
        <f t="shared" si="3"/>
        <v>1</v>
      </c>
      <c r="E16" s="71">
        <v>46137</v>
      </c>
      <c r="F16" s="71">
        <v>46137</v>
      </c>
      <c r="G16" s="10"/>
      <c r="H16" s="5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</row>
    <row r="17" spans="1:29" s="37" customFormat="1" ht="30" customHeight="1" thickBot="1" x14ac:dyDescent="0.35">
      <c r="A17" s="91" t="b">
        <v>1</v>
      </c>
      <c r="B17" s="69" t="s">
        <v>37</v>
      </c>
      <c r="C17" s="74" t="s">
        <v>19</v>
      </c>
      <c r="D17" s="70">
        <f t="shared" si="3"/>
        <v>1</v>
      </c>
      <c r="E17" s="71">
        <v>46137</v>
      </c>
      <c r="F17" s="71">
        <v>46137</v>
      </c>
      <c r="G17" s="10"/>
      <c r="H17" s="5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</row>
    <row r="18" spans="1:29" s="37" customFormat="1" ht="30" customHeight="1" thickBot="1" x14ac:dyDescent="0.35">
      <c r="A18" s="7"/>
      <c r="B18" s="46" t="s">
        <v>11</v>
      </c>
      <c r="C18" s="47"/>
      <c r="D18" s="48"/>
      <c r="E18" s="49"/>
      <c r="F18" s="50"/>
      <c r="G18" s="10"/>
      <c r="H18" s="5" t="str">
        <f t="shared" si="2"/>
        <v/>
      </c>
    </row>
    <row r="19" spans="1:29" s="37" customFormat="1" ht="30" customHeight="1" thickBot="1" x14ac:dyDescent="0.35">
      <c r="A19" s="91" t="b">
        <v>0</v>
      </c>
      <c r="B19" s="51" t="s">
        <v>23</v>
      </c>
      <c r="C19" s="52" t="s">
        <v>15</v>
      </c>
      <c r="D19" s="53"/>
      <c r="E19" s="54">
        <v>46137</v>
      </c>
      <c r="F19" s="54">
        <v>46143</v>
      </c>
      <c r="G19" s="10"/>
      <c r="H19" s="5">
        <f t="shared" si="2"/>
        <v>7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</row>
    <row r="20" spans="1:29" s="37" customFormat="1" ht="30" customHeight="1" thickBot="1" x14ac:dyDescent="0.35">
      <c r="A20" s="91" t="b">
        <v>0</v>
      </c>
      <c r="B20" s="51" t="s">
        <v>24</v>
      </c>
      <c r="C20" s="52" t="s">
        <v>14</v>
      </c>
      <c r="D20" s="53"/>
      <c r="E20" s="54">
        <v>46137</v>
      </c>
      <c r="F20" s="54">
        <v>46143</v>
      </c>
      <c r="G20" s="10"/>
      <c r="H20" s="5">
        <f t="shared" si="2"/>
        <v>7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5"/>
      <c r="V20" s="45"/>
      <c r="W20" s="41"/>
      <c r="X20" s="41"/>
      <c r="Y20" s="41"/>
      <c r="Z20" s="41"/>
      <c r="AA20" s="41"/>
      <c r="AB20" s="41"/>
      <c r="AC20" s="41"/>
    </row>
    <row r="21" spans="1:29" s="37" customFormat="1" ht="30" customHeight="1" thickBot="1" x14ac:dyDescent="0.35">
      <c r="A21" s="91" t="b">
        <v>0</v>
      </c>
      <c r="B21" s="51" t="s">
        <v>25</v>
      </c>
      <c r="C21" s="52" t="s">
        <v>13</v>
      </c>
      <c r="D21" s="53"/>
      <c r="E21" s="54">
        <v>46137</v>
      </c>
      <c r="F21" s="54">
        <v>46143</v>
      </c>
      <c r="G21" s="10"/>
      <c r="H21" s="5">
        <f t="shared" si="2"/>
        <v>7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</row>
    <row r="22" spans="1:29" s="37" customFormat="1" ht="30" customHeight="1" thickBot="1" x14ac:dyDescent="0.35">
      <c r="A22" s="91" t="b">
        <v>0</v>
      </c>
      <c r="B22" s="51" t="s">
        <v>28</v>
      </c>
      <c r="C22" s="52" t="s">
        <v>15</v>
      </c>
      <c r="D22" s="53"/>
      <c r="E22" s="54">
        <v>46137</v>
      </c>
      <c r="F22" s="54">
        <v>46143</v>
      </c>
      <c r="G22" s="10"/>
      <c r="H22" s="5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</row>
    <row r="23" spans="1:29" s="37" customFormat="1" ht="30" customHeight="1" thickBot="1" x14ac:dyDescent="0.35">
      <c r="A23" s="91" t="b">
        <v>0</v>
      </c>
      <c r="B23" s="51" t="s">
        <v>29</v>
      </c>
      <c r="C23" s="52" t="s">
        <v>14</v>
      </c>
      <c r="D23" s="53"/>
      <c r="E23" s="54">
        <v>46137</v>
      </c>
      <c r="F23" s="54">
        <v>46143</v>
      </c>
      <c r="G23" s="10"/>
      <c r="H23" s="5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</row>
    <row r="24" spans="1:29" s="37" customFormat="1" ht="30" customHeight="1" thickBot="1" x14ac:dyDescent="0.35">
      <c r="A24" s="91" t="b">
        <v>0</v>
      </c>
      <c r="B24" s="51" t="s">
        <v>30</v>
      </c>
      <c r="C24" s="52" t="s">
        <v>13</v>
      </c>
      <c r="D24" s="53"/>
      <c r="E24" s="54">
        <v>46137</v>
      </c>
      <c r="F24" s="54">
        <v>46143</v>
      </c>
      <c r="G24" s="10"/>
      <c r="H24" s="5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</row>
    <row r="25" spans="1:29" s="37" customFormat="1" ht="30" customHeight="1" thickBot="1" x14ac:dyDescent="0.35">
      <c r="A25" s="91" t="b">
        <v>0</v>
      </c>
      <c r="B25" s="51" t="s">
        <v>44</v>
      </c>
      <c r="C25" s="52" t="s">
        <v>15</v>
      </c>
      <c r="D25" s="53"/>
      <c r="E25" s="54">
        <v>46137</v>
      </c>
      <c r="F25" s="54">
        <v>46143</v>
      </c>
      <c r="G25" s="10"/>
      <c r="H25" s="5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</row>
    <row r="26" spans="1:29" s="37" customFormat="1" ht="30" customHeight="1" thickBot="1" x14ac:dyDescent="0.35">
      <c r="A26" s="91" t="b">
        <v>0</v>
      </c>
      <c r="B26" s="51" t="s">
        <v>45</v>
      </c>
      <c r="C26" s="52" t="s">
        <v>14</v>
      </c>
      <c r="D26" s="53"/>
      <c r="E26" s="54">
        <v>46137</v>
      </c>
      <c r="F26" s="54">
        <v>46143</v>
      </c>
      <c r="G26" s="10"/>
      <c r="H26" s="5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</row>
    <row r="27" spans="1:29" s="37" customFormat="1" ht="30" customHeight="1" thickBot="1" x14ac:dyDescent="0.35">
      <c r="A27" s="91" t="b">
        <v>0</v>
      </c>
      <c r="B27" s="51" t="s">
        <v>46</v>
      </c>
      <c r="C27" s="52" t="s">
        <v>13</v>
      </c>
      <c r="D27" s="53"/>
      <c r="E27" s="54">
        <v>46137</v>
      </c>
      <c r="F27" s="54">
        <v>46143</v>
      </c>
      <c r="G27" s="10"/>
      <c r="H27" s="5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</row>
    <row r="28" spans="1:29" s="37" customFormat="1" ht="30" customHeight="1" thickBot="1" x14ac:dyDescent="0.35">
      <c r="A28" s="91" t="b">
        <v>0</v>
      </c>
      <c r="B28" s="51" t="s">
        <v>31</v>
      </c>
      <c r="C28" s="52" t="s">
        <v>15</v>
      </c>
      <c r="D28" s="53"/>
      <c r="E28" s="54">
        <v>46137</v>
      </c>
      <c r="F28" s="54">
        <v>46143</v>
      </c>
      <c r="G28" s="10"/>
      <c r="H28" s="5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</row>
    <row r="29" spans="1:29" s="37" customFormat="1" ht="30" customHeight="1" thickBot="1" x14ac:dyDescent="0.35">
      <c r="A29" s="91" t="b">
        <v>0</v>
      </c>
      <c r="B29" s="51" t="s">
        <v>32</v>
      </c>
      <c r="C29" s="52" t="s">
        <v>14</v>
      </c>
      <c r="D29" s="53"/>
      <c r="E29" s="54">
        <v>46137</v>
      </c>
      <c r="F29" s="54">
        <v>46143</v>
      </c>
      <c r="G29" s="10"/>
      <c r="H29" s="5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</row>
    <row r="30" spans="1:29" s="37" customFormat="1" ht="30" customHeight="1" thickBot="1" x14ac:dyDescent="0.35">
      <c r="A30" s="91" t="b">
        <v>0</v>
      </c>
      <c r="B30" s="51" t="s">
        <v>33</v>
      </c>
      <c r="C30" s="52" t="s">
        <v>13</v>
      </c>
      <c r="D30" s="53"/>
      <c r="E30" s="54">
        <v>46137</v>
      </c>
      <c r="F30" s="54">
        <v>46143</v>
      </c>
      <c r="G30" s="10"/>
      <c r="H30" s="5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</row>
    <row r="31" spans="1:29" s="37" customFormat="1" ht="30" customHeight="1" thickBot="1" x14ac:dyDescent="0.35">
      <c r="A31" s="91" t="b">
        <v>0</v>
      </c>
      <c r="B31" s="51" t="s">
        <v>34</v>
      </c>
      <c r="C31" s="52" t="s">
        <v>15</v>
      </c>
      <c r="D31" s="53"/>
      <c r="E31" s="54">
        <v>46137</v>
      </c>
      <c r="F31" s="54">
        <v>46143</v>
      </c>
      <c r="G31" s="10"/>
      <c r="H31" s="5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</row>
    <row r="32" spans="1:29" s="37" customFormat="1" ht="30" customHeight="1" thickBot="1" x14ac:dyDescent="0.35">
      <c r="A32" s="91" t="b">
        <v>0</v>
      </c>
      <c r="B32" s="51" t="s">
        <v>35</v>
      </c>
      <c r="C32" s="52" t="s">
        <v>14</v>
      </c>
      <c r="D32" s="53"/>
      <c r="E32" s="54">
        <v>46137</v>
      </c>
      <c r="F32" s="54">
        <v>46143</v>
      </c>
      <c r="G32" s="10"/>
      <c r="H32" s="5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</row>
    <row r="33" spans="1:29" s="37" customFormat="1" ht="30" customHeight="1" thickBot="1" x14ac:dyDescent="0.35">
      <c r="A33" s="91" t="b">
        <v>0</v>
      </c>
      <c r="B33" s="51" t="s">
        <v>36</v>
      </c>
      <c r="C33" s="52" t="s">
        <v>13</v>
      </c>
      <c r="D33" s="53"/>
      <c r="E33" s="54">
        <v>46137</v>
      </c>
      <c r="F33" s="54">
        <v>46143</v>
      </c>
      <c r="G33" s="10"/>
      <c r="H33" s="5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</row>
    <row r="34" spans="1:29" s="37" customFormat="1" ht="30" customHeight="1" thickBot="1" x14ac:dyDescent="0.35">
      <c r="A34" s="91" t="b">
        <v>0</v>
      </c>
      <c r="B34" s="51" t="s">
        <v>38</v>
      </c>
      <c r="C34" s="52" t="s">
        <v>15</v>
      </c>
      <c r="D34" s="53"/>
      <c r="E34" s="54">
        <v>46137</v>
      </c>
      <c r="F34" s="54">
        <v>46143</v>
      </c>
      <c r="G34" s="10"/>
      <c r="H34" s="5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spans="1:29" s="37" customFormat="1" ht="30" customHeight="1" thickBot="1" x14ac:dyDescent="0.35">
      <c r="A35" s="91" t="b">
        <v>0</v>
      </c>
      <c r="B35" s="51" t="s">
        <v>39</v>
      </c>
      <c r="C35" s="52" t="s">
        <v>14</v>
      </c>
      <c r="D35" s="53"/>
      <c r="E35" s="54">
        <v>46137</v>
      </c>
      <c r="F35" s="54">
        <v>46143</v>
      </c>
      <c r="G35" s="10"/>
      <c r="H35" s="5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6" spans="1:29" s="37" customFormat="1" ht="30" customHeight="1" thickBot="1" x14ac:dyDescent="0.35">
      <c r="A36" s="91" t="b">
        <v>0</v>
      </c>
      <c r="B36" s="51" t="s">
        <v>40</v>
      </c>
      <c r="C36" s="52" t="s">
        <v>13</v>
      </c>
      <c r="D36" s="53"/>
      <c r="E36" s="54">
        <v>46137</v>
      </c>
      <c r="F36" s="54">
        <v>46143</v>
      </c>
      <c r="G36" s="10"/>
      <c r="H36" s="5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</row>
    <row r="37" spans="1:29" s="37" customFormat="1" ht="30" customHeight="1" thickBot="1" x14ac:dyDescent="0.35">
      <c r="A37" s="91" t="b">
        <v>0</v>
      </c>
      <c r="B37" s="51" t="s">
        <v>41</v>
      </c>
      <c r="C37" s="52" t="s">
        <v>15</v>
      </c>
      <c r="D37" s="53"/>
      <c r="E37" s="54">
        <v>46137</v>
      </c>
      <c r="F37" s="54">
        <v>46143</v>
      </c>
      <c r="G37" s="10"/>
      <c r="H37" s="5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</row>
    <row r="38" spans="1:29" s="37" customFormat="1" ht="30" customHeight="1" thickBot="1" x14ac:dyDescent="0.35">
      <c r="A38" s="91" t="b">
        <v>0</v>
      </c>
      <c r="B38" s="51" t="s">
        <v>42</v>
      </c>
      <c r="C38" s="52" t="s">
        <v>14</v>
      </c>
      <c r="D38" s="53"/>
      <c r="E38" s="54">
        <v>46137</v>
      </c>
      <c r="F38" s="54">
        <v>46143</v>
      </c>
      <c r="G38" s="10"/>
      <c r="H38" s="5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</row>
    <row r="39" spans="1:29" s="37" customFormat="1" ht="30" customHeight="1" thickBot="1" x14ac:dyDescent="0.35">
      <c r="A39" s="91" t="b">
        <v>0</v>
      </c>
      <c r="B39" s="51" t="s">
        <v>43</v>
      </c>
      <c r="C39" s="52" t="s">
        <v>13</v>
      </c>
      <c r="D39" s="53"/>
      <c r="E39" s="54">
        <v>46137</v>
      </c>
      <c r="F39" s="54">
        <v>46143</v>
      </c>
      <c r="G39" s="10"/>
      <c r="H39" s="5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spans="1:29" s="37" customFormat="1" ht="30" customHeight="1" thickBot="1" x14ac:dyDescent="0.35">
      <c r="A40" s="91" t="b">
        <v>0</v>
      </c>
      <c r="B40" s="51" t="s">
        <v>26</v>
      </c>
      <c r="C40" s="52" t="s">
        <v>13</v>
      </c>
      <c r="D40" s="53"/>
      <c r="E40" s="54">
        <v>46137</v>
      </c>
      <c r="F40" s="54">
        <v>46143</v>
      </c>
      <c r="G40" s="10"/>
      <c r="H40" s="5">
        <f t="shared" si="2"/>
        <v>7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5"/>
      <c r="Z40" s="41"/>
      <c r="AA40" s="41"/>
      <c r="AB40" s="41"/>
      <c r="AC40" s="41"/>
    </row>
    <row r="41" spans="1:29" s="37" customFormat="1" ht="30" customHeight="1" thickBot="1" x14ac:dyDescent="0.35">
      <c r="A41" s="91" t="b">
        <v>0</v>
      </c>
      <c r="B41" s="51" t="s">
        <v>27</v>
      </c>
      <c r="C41" s="52" t="s">
        <v>13</v>
      </c>
      <c r="D41" s="53"/>
      <c r="E41" s="54">
        <v>46137</v>
      </c>
      <c r="F41" s="54">
        <v>46143</v>
      </c>
      <c r="G41" s="10"/>
      <c r="H41" s="5">
        <f t="shared" si="2"/>
        <v>7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spans="1:29" s="37" customFormat="1" ht="30" customHeight="1" thickBot="1" x14ac:dyDescent="0.35">
      <c r="A42" s="6"/>
      <c r="B42" s="55" t="s">
        <v>12</v>
      </c>
      <c r="C42" s="56"/>
      <c r="D42" s="57"/>
      <c r="E42" s="58"/>
      <c r="F42" s="59"/>
      <c r="G42" s="10"/>
      <c r="H42" s="5" t="str">
        <f t="shared" si="2"/>
        <v/>
      </c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</row>
    <row r="43" spans="1:29" s="37" customFormat="1" ht="30" customHeight="1" thickBot="1" x14ac:dyDescent="0.35">
      <c r="A43" s="6"/>
      <c r="B43" s="61"/>
      <c r="C43" s="62"/>
      <c r="D43" s="63"/>
      <c r="E43" s="64"/>
      <c r="F43" s="64"/>
      <c r="G43" s="10"/>
      <c r="H43" s="5" t="str">
        <f t="shared" si="2"/>
        <v/>
      </c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 spans="1:29" s="37" customFormat="1" ht="30" customHeight="1" thickBot="1" x14ac:dyDescent="0.35">
      <c r="A44" s="6"/>
      <c r="B44" s="61"/>
      <c r="C44" s="62"/>
      <c r="D44" s="63"/>
      <c r="E44" s="64"/>
      <c r="F44" s="64"/>
      <c r="G44" s="10"/>
      <c r="H44" s="5" t="str">
        <f t="shared" si="2"/>
        <v/>
      </c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  <row r="45" spans="1:29" s="37" customFormat="1" ht="30" customHeight="1" thickBot="1" x14ac:dyDescent="0.35">
      <c r="A45" s="6"/>
      <c r="B45" s="61"/>
      <c r="C45" s="62"/>
      <c r="D45" s="63"/>
      <c r="E45" s="64"/>
      <c r="F45" s="64"/>
      <c r="G45" s="10"/>
      <c r="H45" s="5" t="str">
        <f t="shared" si="2"/>
        <v/>
      </c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</row>
    <row r="46" spans="1:29" s="37" customFormat="1" ht="30" customHeight="1" thickBot="1" x14ac:dyDescent="0.35">
      <c r="A46" s="6"/>
      <c r="B46" s="61"/>
      <c r="C46" s="62"/>
      <c r="D46" s="63"/>
      <c r="E46" s="64"/>
      <c r="F46" s="64"/>
      <c r="G46" s="10"/>
      <c r="H46" s="5" t="str">
        <f t="shared" si="2"/>
        <v/>
      </c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</row>
    <row r="47" spans="1:29" s="37" customFormat="1" ht="30" customHeight="1" thickBot="1" x14ac:dyDescent="0.35">
      <c r="A47" s="6"/>
      <c r="B47" s="61"/>
      <c r="C47" s="62"/>
      <c r="D47" s="63"/>
      <c r="E47" s="64"/>
      <c r="F47" s="64"/>
      <c r="G47" s="10"/>
      <c r="H47" s="5" t="str">
        <f t="shared" si="2"/>
        <v/>
      </c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</row>
    <row r="48" spans="1:29" ht="30" customHeight="1" x14ac:dyDescent="0.3">
      <c r="G48" s="3"/>
    </row>
    <row r="49" spans="3:6" ht="30" customHeight="1" x14ac:dyDescent="0.3">
      <c r="C49" s="9"/>
      <c r="F49" s="8"/>
    </row>
    <row r="50" spans="3:6" ht="30" customHeight="1" x14ac:dyDescent="0.3">
      <c r="C50" s="4"/>
    </row>
  </sheetData>
  <mergeCells count="15">
    <mergeCell ref="A7:A8"/>
    <mergeCell ref="B7:B8"/>
    <mergeCell ref="C7:C8"/>
    <mergeCell ref="D7:D8"/>
    <mergeCell ref="E7:E8"/>
    <mergeCell ref="Q1:Z1"/>
    <mergeCell ref="I1:O1"/>
    <mergeCell ref="I2:O2"/>
    <mergeCell ref="I3:O3"/>
    <mergeCell ref="Q3:Z3"/>
    <mergeCell ref="I6:O6"/>
    <mergeCell ref="P6:V6"/>
    <mergeCell ref="W6:AC6"/>
    <mergeCell ref="F7:F8"/>
    <mergeCell ref="Q2:Z2"/>
  </mergeCells>
  <conditionalFormatting sqref="D9:D47">
    <cfRule type="dataBar" priority="23">
      <dataBar>
        <cfvo type="num" val="0"/>
        <cfvo type="num" val="1"/>
        <color theme="0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6:AB47">
    <cfRule type="expression" dxfId="13" priority="1">
      <formula>AND(TODAY()&gt;=I$7, TODAY()&lt;J$7)</formula>
    </cfRule>
  </conditionalFormatting>
  <conditionalFormatting sqref="I11:AB17">
    <cfRule type="expression" dxfId="12" priority="6">
      <formula>AND(task_start&lt;=I$7,ROUNDDOWN((task_end-task_start+1)*task_progress,0)+task_start-1&gt;=I$7)</formula>
    </cfRule>
    <cfRule type="expression" dxfId="11" priority="7" stopIfTrue="1">
      <formula>AND(task_end&gt;=I$7,task_start&lt;J$7)</formula>
    </cfRule>
  </conditionalFormatting>
  <conditionalFormatting sqref="I19:AB41">
    <cfRule type="expression" dxfId="10" priority="4">
      <formula>AND(task_start&lt;=I$7,ROUNDDOWN((task_end-task_start+1)*task_progress,0)+task_start-1&gt;=I$7)</formula>
    </cfRule>
    <cfRule type="expression" dxfId="9" priority="5" stopIfTrue="1">
      <formula>AND(task_end&gt;=I$7,task_start&lt;J$7)</formula>
    </cfRule>
  </conditionalFormatting>
  <conditionalFormatting sqref="I43:AB47">
    <cfRule type="expression" dxfId="8" priority="2">
      <formula>AND(task_start&lt;=I$7,ROUNDDOWN((task_end-task_start+1)*task_progress,0)+task_start-1&gt;=I$7)</formula>
    </cfRule>
    <cfRule type="expression" dxfId="7" priority="3" stopIfTrue="1">
      <formula>AND(task_end&gt;=I$7,task_start&lt;J$7)</formula>
    </cfRule>
  </conditionalFormatting>
  <conditionalFormatting sqref="AC6:AC47">
    <cfRule type="expression" dxfId="6" priority="25">
      <formula>AND(TODAY()&gt;=AC$7, TODAY()&lt;#REF!)</formula>
    </cfRule>
  </conditionalFormatting>
  <conditionalFormatting sqref="AC11:AC17">
    <cfRule type="expression" dxfId="5" priority="28">
      <formula>AND(task_start&lt;=AC$7,ROUNDDOWN((task_end-task_start+1)*task_progress,0)+task_start-1&gt;=AC$7)</formula>
    </cfRule>
    <cfRule type="expression" dxfId="4" priority="29" stopIfTrue="1">
      <formula>AND(task_end&gt;=AC$7,task_start&lt;#REF!)</formula>
    </cfRule>
  </conditionalFormatting>
  <conditionalFormatting sqref="AC19:AC41">
    <cfRule type="expression" dxfId="3" priority="32">
      <formula>AND(task_start&lt;=AC$7,ROUNDDOWN((task_end-task_start+1)*task_progress,0)+task_start-1&gt;=AC$7)</formula>
    </cfRule>
    <cfRule type="expression" dxfId="2" priority="33" stopIfTrue="1">
      <formula>AND(task_end&gt;=AC$7,task_start&lt;#REF!)</formula>
    </cfRule>
  </conditionalFormatting>
  <conditionalFormatting sqref="AC43:AC47">
    <cfRule type="expression" dxfId="1" priority="36">
      <formula>AND(task_start&lt;=AC$7,ROUNDDOWN((task_end-task_start+1)*task_progress,0)+task_start-1&gt;=AC$7)</formula>
    </cfRule>
    <cfRule type="expression" dxfId="0" priority="37" stopIfTrue="1">
      <formula>AND(task_end&gt;=AC$7,task_start&lt;#REF!)</formula>
    </cfRule>
  </conditionalFormatting>
  <dataValidations count="2">
    <dataValidation type="list" allowBlank="1" showInputMessage="1" showErrorMessage="1" sqref="C43:C47 C19:C21 C22:C41" xr:uid="{81BFDE51-3151-43F8-A7A1-718D27BBADDF}">
      <formula1>$B$2:$B$4</formula1>
    </dataValidation>
    <dataValidation type="list" allowBlank="1" showInputMessage="1" showErrorMessage="1" sqref="C11:C17" xr:uid="{57E84E88-ADF7-4240-9B38-62294B230932}">
      <formula1>$B$2:$B$5</formula1>
    </dataValidation>
  </dataValidations>
  <printOptions horizontalCentered="1"/>
  <pageMargins left="0.35" right="0.35" top="0.35" bottom="0.5" header="0.3" footer="0.3"/>
  <pageSetup scale="57" fitToHeight="0" orientation="landscape" r:id="rId1"/>
  <headerFooter differentFirst="1" scaleWithDoc="0">
    <oddFooter>Page &amp;P of &amp;N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D9:D47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A09426A3-87E9-4865-8A6C-3456B026A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245281-08F3-4104-84BD-39F3D8CFB1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239A0-E68C-493F-BEE6-C77FEA397FD6}">
  <ds:schemaRefs>
    <ds:schemaRef ds:uri="http://purl.org/dc/elements/1.1/"/>
    <ds:schemaRef ds:uri="16c05727-aa75-4e4a-9b5f-8a80a1165891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230e9df3-be65-4c73-a93b-d1236ebd677e"/>
    <ds:schemaRef ds:uri="http://schemas.microsoft.com/office/2006/metadata/properties"/>
    <ds:schemaRef ds:uri="71af3243-3dd4-4a8d-8c0d-dd76da1f02a5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Project Schedule</vt:lpstr>
      <vt:lpstr>Display_Week</vt:lpstr>
      <vt:lpstr>'Project Schedule'!Print_Titles</vt:lpstr>
      <vt:lpstr>Project_Start</vt:lpstr>
      <vt:lpstr>'Project Schedule'!task_end</vt:lpstr>
      <vt:lpstr>'Project Schedule'!task_progress</vt:lpstr>
      <vt:lpstr>'Project Schedule'!task_start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Raykel Villar</dc:creator>
  <dc:description/>
  <cp:lastModifiedBy>Raykel Villar</cp:lastModifiedBy>
  <dcterms:created xsi:type="dcterms:W3CDTF">2022-03-11T22:41:12Z</dcterms:created>
  <dcterms:modified xsi:type="dcterms:W3CDTF">2026-04-26T02:43:48Z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