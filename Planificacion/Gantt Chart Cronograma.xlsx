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b979beda9c5651/Documentos/UASD/Semestre 2026-10/Progamacion 3/"/>
    </mc:Choice>
  </mc:AlternateContent>
  <xr:revisionPtr revIDLastSave="360" documentId="13_ncr:1_{ACF59A3B-31EB-4F17-B043-86D8907DB8D4}" xr6:coauthVersionLast="47" xr6:coauthVersionMax="47" xr10:uidLastSave="{B6AD5B4F-4362-4EB7-90E2-8658000BD3F6}"/>
  <bookViews>
    <workbookView xWindow="-110" yWindow="-110" windowWidth="38620" windowHeight="21100" xr2:uid="{00000000-000D-0000-FFFF-FFFF00000000}"/>
  </bookViews>
  <sheets>
    <sheet name="Project Schedule" sheetId="11" r:id="rId1"/>
  </sheets>
  <definedNames>
    <definedName name="Display_Week">'Project Schedule'!$Q$2</definedName>
    <definedName name="_xlnm.Print_Titles" localSheetId="0">'Project Schedule'!$6:$8</definedName>
    <definedName name="Project_Start">'Project Schedule'!$Q$1</definedName>
    <definedName name="task_end" localSheetId="0">'Project Schedule'!$F1</definedName>
    <definedName name="task_progress" localSheetId="0">'Project Schedule'!$D1</definedName>
    <definedName name="task_start" localSheetId="0">'Project Schedule'!$E1</definedName>
    <definedName name="today" localSheetId="0">TODAY()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1" l="1"/>
  <c r="D68" i="11"/>
  <c r="H67" i="11"/>
  <c r="D67" i="11"/>
  <c r="D19" i="11"/>
  <c r="H66" i="11"/>
  <c r="D66" i="11"/>
  <c r="H61" i="11"/>
  <c r="D61" i="11"/>
  <c r="H60" i="11"/>
  <c r="D60" i="11"/>
  <c r="D64" i="11"/>
  <c r="D65" i="11"/>
  <c r="D63" i="11"/>
  <c r="H58" i="11"/>
  <c r="D58" i="11"/>
  <c r="H57" i="11"/>
  <c r="D57" i="11"/>
  <c r="D53" i="11"/>
  <c r="D52" i="11"/>
  <c r="H51" i="11"/>
  <c r="D51" i="11"/>
  <c r="H54" i="11"/>
  <c r="D54" i="11"/>
  <c r="H55" i="11"/>
  <c r="D55" i="11"/>
  <c r="H56" i="11"/>
  <c r="D56" i="11"/>
  <c r="D40" i="11"/>
  <c r="D17" i="11"/>
  <c r="D43" i="11"/>
  <c r="D42" i="11"/>
  <c r="D26" i="11"/>
  <c r="D23" i="11"/>
  <c r="D24" i="11"/>
  <c r="D22" i="11"/>
  <c r="D39" i="11"/>
  <c r="H59" i="11"/>
  <c r="D59" i="11"/>
  <c r="H50" i="11"/>
  <c r="D50" i="11"/>
  <c r="H49" i="11"/>
  <c r="D49" i="11"/>
  <c r="H48" i="11"/>
  <c r="D48" i="11"/>
  <c r="H47" i="11"/>
  <c r="D47" i="11"/>
  <c r="H46" i="11"/>
  <c r="D46" i="11"/>
  <c r="H45" i="11"/>
  <c r="D45" i="11"/>
  <c r="H44" i="11"/>
  <c r="D44" i="11"/>
  <c r="H43" i="11"/>
  <c r="H42" i="11"/>
  <c r="H41" i="11"/>
  <c r="D41" i="11"/>
  <c r="H40" i="11"/>
  <c r="D18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5" i="11"/>
  <c r="D13" i="11"/>
  <c r="D14" i="11"/>
  <c r="D20" i="11"/>
  <c r="D16" i="11"/>
  <c r="D15" i="11"/>
  <c r="D12" i="11"/>
  <c r="D11" i="11"/>
  <c r="H22" i="11"/>
  <c r="I7" i="11"/>
  <c r="J7" i="11" s="1"/>
  <c r="H9" i="11"/>
  <c r="H62" i="11"/>
  <c r="H21" i="11"/>
  <c r="H10" i="11"/>
  <c r="H63" i="11"/>
  <c r="H64" i="11"/>
  <c r="H11" i="11"/>
  <c r="H12" i="11"/>
  <c r="H15" i="11"/>
  <c r="H65" i="11"/>
  <c r="H23" i="11"/>
  <c r="H13" i="11"/>
  <c r="H14" i="11"/>
  <c r="H39" i="11"/>
  <c r="H24" i="11"/>
  <c r="I8" i="11" l="1"/>
  <c r="K7" i="11"/>
  <c r="J8" i="11"/>
  <c r="I6" i="11"/>
  <c r="K8" i="11" l="1"/>
  <c r="L7" i="11"/>
  <c r="M7" i="11" l="1"/>
  <c r="L8" i="11"/>
  <c r="M8" i="11" l="1"/>
  <c r="N7" i="11"/>
  <c r="O7" i="11" l="1"/>
  <c r="N8" i="11"/>
  <c r="O8" i="11" l="1"/>
  <c r="P7" i="11"/>
  <c r="Q7" i="11" l="1"/>
  <c r="P6" i="11"/>
  <c r="P8" i="11"/>
  <c r="Q8" i="11" l="1"/>
  <c r="R7" i="11"/>
  <c r="R8" i="11" l="1"/>
  <c r="S7" i="11"/>
  <c r="S8" i="11" l="1"/>
  <c r="T7" i="11"/>
  <c r="U7" i="11" l="1"/>
  <c r="T8" i="11"/>
  <c r="U8" i="11" l="1"/>
  <c r="V7" i="11"/>
  <c r="V8" i="11" l="1"/>
  <c r="W7" i="11"/>
  <c r="W6" i="11" l="1"/>
  <c r="X7" i="11"/>
  <c r="W8" i="11"/>
  <c r="Y7" i="11" l="1"/>
  <c r="X8" i="11"/>
  <c r="Z7" i="11" l="1"/>
  <c r="Y8" i="11"/>
  <c r="Z8" i="11" l="1"/>
  <c r="AA7" i="11"/>
  <c r="AB7" i="11" l="1"/>
  <c r="AA8" i="11"/>
  <c r="AB8" i="11" l="1"/>
  <c r="AC7" i="11"/>
  <c r="AC8" i="11" s="1"/>
</calcChain>
</file>

<file path=xl/sharedStrings.xml><?xml version="1.0" encoding="utf-8"?>
<sst xmlns="http://schemas.openxmlformats.org/spreadsheetml/2006/main" count="129" uniqueCount="73">
  <si>
    <t>FerreteríaRD</t>
  </si>
  <si>
    <t>Inicio Del Projecto</t>
  </si>
  <si>
    <t>Raykel Villar</t>
  </si>
  <si>
    <t>Display week:</t>
  </si>
  <si>
    <t>Alfredo Feliz</t>
  </si>
  <si>
    <t>Fin Del Projecto</t>
  </si>
  <si>
    <t>Chery Viola</t>
  </si>
  <si>
    <t>Todos</t>
  </si>
  <si>
    <t>Tarea</t>
  </si>
  <si>
    <t>Responsable</t>
  </si>
  <si>
    <t>Progreso</t>
  </si>
  <si>
    <t>Inicio</t>
  </si>
  <si>
    <t>Fin</t>
  </si>
  <si>
    <t xml:space="preserve">Do not delete this row. This row is hidden to preserve a formula that is used to highlight the current day within the project schedule. </t>
  </si>
  <si>
    <t>Planificación</t>
  </si>
  <si>
    <t>Creacion Repositorio Git-Hub</t>
  </si>
  <si>
    <t>Creacion de Diagrama De Gantt</t>
  </si>
  <si>
    <t>Visita al Negocio</t>
  </si>
  <si>
    <t>A. Acta de Inicio del Proyecto (Project Charter)</t>
  </si>
  <si>
    <t>B. Estructura de Desglose del Trabajo (EDT / WBS)</t>
  </si>
  <si>
    <t>Reunion Virtual Google Meets 1</t>
  </si>
  <si>
    <t>Reunion Virtual Google Meets 2</t>
  </si>
  <si>
    <t>Reunion Virtual Google Meets 3</t>
  </si>
  <si>
    <t>Crear React App</t>
  </si>
  <si>
    <t>Prototipo Funcional</t>
  </si>
  <si>
    <t>Paginas Login y Registro</t>
  </si>
  <si>
    <t>Pagina Productos</t>
  </si>
  <si>
    <t>Header</t>
  </si>
  <si>
    <t>Footer</t>
  </si>
  <si>
    <t>Pagina De Inicio</t>
  </si>
  <si>
    <t>Pagina Servicio Al Cliente</t>
  </si>
  <si>
    <t>Pagina Inicio Admin</t>
  </si>
  <si>
    <t>Pagina Suplidores Admin</t>
  </si>
  <si>
    <t>Pagina Lista De Favoritos</t>
  </si>
  <si>
    <t>Pagina Carrito</t>
  </si>
  <si>
    <t>Pagina Ordenes Admin</t>
  </si>
  <si>
    <t>Pagina Ordenes</t>
  </si>
  <si>
    <t>Pagina Productos Admin</t>
  </si>
  <si>
    <t>Pagina Movimientos De Inventario</t>
  </si>
  <si>
    <t>Base De Datos</t>
  </si>
  <si>
    <t>Crear Roles Backend</t>
  </si>
  <si>
    <t>Crear Funciones Para Base De Datos</t>
  </si>
  <si>
    <t xml:space="preserve">Pagina FQA </t>
  </si>
  <si>
    <t xml:space="preserve">Pagina de perfil </t>
  </si>
  <si>
    <t xml:space="preserve">Pagina de Favorito </t>
  </si>
  <si>
    <t>Pagina De Departamentos</t>
  </si>
  <si>
    <t>Agregar Funcion de Enviar correo, Pagina Soporte</t>
  </si>
  <si>
    <t>Realizar Excel de Productos y Ajustar Imagenes</t>
  </si>
  <si>
    <t>Generar Factura Consumidor Final</t>
  </si>
  <si>
    <t>Agregar Funcion Para Buscar En La Tienda</t>
  </si>
  <si>
    <t>Agregar Funcion De Filtros Front End</t>
  </si>
  <si>
    <t>Sobre Nosotros Pagina</t>
  </si>
  <si>
    <t>Hacer Refactor de App.css</t>
  </si>
  <si>
    <t>Pagina Alerta De Stocks</t>
  </si>
  <si>
    <t>Back End Alerta De Stocks</t>
  </si>
  <si>
    <t>Agregar Logo y Ajustar Estilos de Titulo</t>
  </si>
  <si>
    <t>Agregar Botones De Descargar PDF</t>
  </si>
  <si>
    <t>Agregar Botones de Descargar CSV</t>
  </si>
  <si>
    <t>Agregar Send Email Logic</t>
  </si>
  <si>
    <t>Create Supabase Edge Function to Handle Email</t>
  </si>
  <si>
    <t>Create Supabase Edge Function For alerts</t>
  </si>
  <si>
    <t>Agregar Loading Bar Al confirmar orden</t>
  </si>
  <si>
    <t>Agregar Funciones de stock bajo Stock &lt; Min y mostrar Detalle</t>
  </si>
  <si>
    <t>Entrega final</t>
  </si>
  <si>
    <t>Crear CSS Version De Telefonos</t>
  </si>
  <si>
    <t>Crear Dashboard Interactivo De Reportes</t>
  </si>
  <si>
    <t>Agregar Boton de Accesibilidad</t>
  </si>
  <si>
    <t>Corregir Lupa del search bar</t>
  </si>
  <si>
    <t>Corregir Boton del Carrucel</t>
  </si>
  <si>
    <t>Agregar Detalles al readme</t>
  </si>
  <si>
    <t>Reunion Virtual Google Meets 4</t>
  </si>
  <si>
    <t>Deployment de la Pagina usando Vercel como hosting</t>
  </si>
  <si>
    <t>Agregar Archivos .SQL de la base de datos al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</si>
</sst>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m/d/yy;@"/>
    <numFmt numFmtId="165" formatCode="ddd\,\ m/d/yyyy"/>
    <numFmt numFmtId="166" formatCode="mmm\ d\,\ yyyy"/>
    <numFmt numFmtId="167" formatCode="d"/>
  </numFmts>
  <fonts count="27" x14ac:knownFonts="1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2"/>
      <color theme="1" tint="0.34998626667073579"/>
      <name val="Arial Black"/>
      <family val="2"/>
      <scheme val="major"/>
    </font>
    <font>
      <sz val="10"/>
      <color theme="1" tint="0.499984740745262"/>
      <name val="Arial"/>
      <family val="2"/>
    </font>
    <font>
      <sz val="11"/>
      <color theme="0"/>
      <name val="Arial"/>
      <family val="2"/>
      <scheme val="minor"/>
    </font>
    <font>
      <sz val="10"/>
      <name val="Arial"/>
      <family val="2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9"/>
      <name val="Arial"/>
      <family val="2"/>
      <scheme val="minor"/>
    </font>
    <font>
      <b/>
      <sz val="40"/>
      <color theme="9"/>
      <name val="Arial Black"/>
      <family val="2"/>
      <scheme val="major"/>
    </font>
    <font>
      <b/>
      <sz val="16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16"/>
      <color theme="0"/>
      <name val="Arial Black"/>
      <family val="2"/>
      <scheme val="major"/>
    </font>
    <font>
      <sz val="11"/>
      <color theme="0"/>
      <name val="Arial Black"/>
      <family val="2"/>
      <scheme val="major"/>
    </font>
    <font>
      <b/>
      <sz val="14"/>
      <color theme="9"/>
      <name val="Arial"/>
      <family val="2"/>
      <scheme val="minor"/>
    </font>
    <font>
      <b/>
      <sz val="14"/>
      <color theme="9"/>
      <name val="Arial Black"/>
      <family val="2"/>
      <scheme val="major"/>
    </font>
    <font>
      <sz val="14"/>
      <color theme="1"/>
      <name val="Arial Black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0.149967955565050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8" fillId="0" borderId="0"/>
    <xf numFmtId="43" fontId="4" fillId="0" borderId="2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indent="1"/>
    </xf>
    <xf numFmtId="165" fontId="4" fillId="0" borderId="2">
      <alignment horizontal="center" vertical="center"/>
    </xf>
    <xf numFmtId="164" fontId="4" fillId="0" borderId="1" applyFill="0">
      <alignment horizontal="center" vertical="center"/>
    </xf>
    <xf numFmtId="0" fontId="4" fillId="0" borderId="1" applyFill="0">
      <alignment horizontal="center" vertical="center"/>
    </xf>
    <xf numFmtId="0" fontId="4" fillId="0" borderId="1" applyFill="0">
      <alignment horizontal="left" vertical="center" indent="2"/>
    </xf>
  </cellStyleXfs>
  <cellXfs count="8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7" fillId="0" borderId="0" xfId="1" applyFont="1" applyAlignment="1" applyProtection="1"/>
    <xf numFmtId="0" fontId="3" fillId="0" borderId="1" xfId="0" applyFont="1" applyBorder="1" applyAlignment="1">
      <alignment horizontal="center" vertical="center"/>
    </xf>
    <xf numFmtId="0" fontId="8" fillId="0" borderId="0" xfId="3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4" fillId="0" borderId="0" xfId="0" applyFont="1"/>
    <xf numFmtId="0" fontId="4" fillId="0" borderId="0" xfId="8">
      <alignment horizontal="right" indent="1"/>
    </xf>
    <xf numFmtId="0" fontId="4" fillId="0" borderId="0" xfId="0" applyFont="1" applyAlignment="1">
      <alignment horizontal="center"/>
    </xf>
    <xf numFmtId="0" fontId="1" fillId="0" borderId="0" xfId="1" applyFont="1" applyAlignment="1" applyProtection="1">
      <alignment horizontal="left" vertical="top" indent="1"/>
    </xf>
    <xf numFmtId="0" fontId="4" fillId="0" borderId="0" xfId="0" applyFont="1" applyAlignment="1">
      <alignment horizontal="left" indent="1"/>
    </xf>
    <xf numFmtId="167" fontId="15" fillId="10" borderId="17" xfId="0" applyNumberFormat="1" applyFont="1" applyFill="1" applyBorder="1" applyAlignment="1">
      <alignment horizontal="center" vertical="center"/>
    </xf>
    <xf numFmtId="167" fontId="15" fillId="10" borderId="15" xfId="0" applyNumberFormat="1" applyFont="1" applyFill="1" applyBorder="1" applyAlignment="1">
      <alignment horizontal="center" vertical="center"/>
    </xf>
    <xf numFmtId="167" fontId="15" fillId="10" borderId="16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shrinkToFit="1"/>
    </xf>
    <xf numFmtId="0" fontId="16" fillId="2" borderId="12" xfId="0" applyFont="1" applyFill="1" applyBorder="1" applyAlignment="1">
      <alignment horizontal="center" vertical="center" shrinkToFit="1"/>
    </xf>
    <xf numFmtId="0" fontId="13" fillId="0" borderId="0" xfId="0" applyFont="1"/>
    <xf numFmtId="0" fontId="13" fillId="0" borderId="0" xfId="0" applyFont="1" applyAlignment="1">
      <alignment wrapText="1"/>
    </xf>
    <xf numFmtId="0" fontId="4" fillId="0" borderId="3" xfId="0" applyFont="1" applyBorder="1" applyAlignment="1">
      <alignment vertical="center"/>
    </xf>
    <xf numFmtId="0" fontId="17" fillId="6" borderId="0" xfId="0" applyFont="1" applyFill="1" applyAlignment="1">
      <alignment horizontal="left" vertical="center" indent="1"/>
    </xf>
    <xf numFmtId="0" fontId="13" fillId="6" borderId="0" xfId="11" applyFont="1" applyFill="1" applyBorder="1" applyAlignment="1">
      <alignment vertical="center"/>
    </xf>
    <xf numFmtId="9" fontId="1" fillId="6" borderId="0" xfId="2" applyFont="1" applyFill="1" applyBorder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3" fillId="3" borderId="6" xfId="12" applyFont="1" applyFill="1" applyBorder="1">
      <alignment horizontal="left" vertical="center" indent="2"/>
    </xf>
    <xf numFmtId="9" fontId="1" fillId="3" borderId="6" xfId="2" applyFont="1" applyFill="1" applyBorder="1" applyAlignment="1">
      <alignment horizontal="center" vertical="center"/>
    </xf>
    <xf numFmtId="164" fontId="13" fillId="3" borderId="6" xfId="10" applyFont="1" applyFill="1" applyBorder="1">
      <alignment horizontal="center" vertical="center"/>
    </xf>
    <xf numFmtId="0" fontId="4" fillId="0" borderId="4" xfId="0" applyFont="1" applyBorder="1" applyAlignment="1">
      <alignment vertical="center"/>
    </xf>
    <xf numFmtId="0" fontId="13" fillId="3" borderId="7" xfId="12" applyFont="1" applyFill="1" applyBorder="1">
      <alignment horizontal="left" vertical="center" indent="2"/>
    </xf>
    <xf numFmtId="9" fontId="1" fillId="3" borderId="7" xfId="2" applyFont="1" applyFill="1" applyBorder="1" applyAlignment="1">
      <alignment horizontal="center" vertical="center"/>
    </xf>
    <xf numFmtId="164" fontId="13" fillId="3" borderId="7" xfId="10" applyFont="1" applyFill="1" applyBorder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17" fillId="7" borderId="0" xfId="0" applyFont="1" applyFill="1" applyAlignment="1">
      <alignment horizontal="left" vertical="center" indent="1"/>
    </xf>
    <xf numFmtId="0" fontId="13" fillId="7" borderId="0" xfId="11" applyFont="1" applyFill="1" applyBorder="1" applyAlignment="1">
      <alignment vertical="center"/>
    </xf>
    <xf numFmtId="9" fontId="1" fillId="7" borderId="0" xfId="2" applyFont="1" applyFill="1" applyBorder="1" applyAlignment="1">
      <alignment horizontal="center" vertical="center"/>
    </xf>
    <xf numFmtId="164" fontId="13" fillId="7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0" fontId="13" fillId="4" borderId="5" xfId="12" applyFont="1" applyFill="1" applyBorder="1">
      <alignment horizontal="left" vertical="center" indent="2"/>
    </xf>
    <xf numFmtId="0" fontId="13" fillId="4" borderId="5" xfId="11" applyFont="1" applyFill="1" applyBorder="1" applyAlignment="1">
      <alignment vertical="center"/>
    </xf>
    <xf numFmtId="9" fontId="1" fillId="4" borderId="5" xfId="2" applyFont="1" applyFill="1" applyBorder="1" applyAlignment="1">
      <alignment horizontal="center" vertical="center"/>
    </xf>
    <xf numFmtId="164" fontId="13" fillId="4" borderId="5" xfId="10" applyFont="1" applyFill="1" applyBorder="1">
      <alignment horizontal="center" vertical="center"/>
    </xf>
    <xf numFmtId="0" fontId="17" fillId="8" borderId="0" xfId="0" applyFont="1" applyFill="1" applyAlignment="1">
      <alignment horizontal="left" vertical="center" indent="1"/>
    </xf>
    <xf numFmtId="0" fontId="13" fillId="8" borderId="0" xfId="11" applyFont="1" applyFill="1" applyBorder="1" applyAlignment="1">
      <alignment vertical="center"/>
    </xf>
    <xf numFmtId="9" fontId="1" fillId="8" borderId="0" xfId="2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3" fillId="5" borderId="8" xfId="12" applyFont="1" applyFill="1" applyBorder="1">
      <alignment horizontal="left" vertical="center" indent="2"/>
    </xf>
    <xf numFmtId="0" fontId="13" fillId="5" borderId="8" xfId="11" applyFont="1" applyFill="1" applyBorder="1" applyAlignment="1">
      <alignment vertical="center"/>
    </xf>
    <xf numFmtId="9" fontId="1" fillId="5" borderId="8" xfId="2" applyFont="1" applyFill="1" applyBorder="1" applyAlignment="1">
      <alignment horizontal="center" vertical="center"/>
    </xf>
    <xf numFmtId="164" fontId="13" fillId="5" borderId="8" xfId="10" applyFont="1" applyFill="1" applyBorder="1">
      <alignment horizontal="center" vertical="center"/>
    </xf>
    <xf numFmtId="0" fontId="18" fillId="0" borderId="0" xfId="7" applyFont="1" applyAlignment="1">
      <alignment horizontal="left" vertical="center" indent="1"/>
    </xf>
    <xf numFmtId="0" fontId="19" fillId="0" borderId="0" xfId="5" applyFont="1" applyAlignment="1">
      <alignment horizontal="left"/>
    </xf>
    <xf numFmtId="0" fontId="21" fillId="0" borderId="0" xfId="0" applyFont="1"/>
    <xf numFmtId="0" fontId="18" fillId="0" borderId="0" xfId="6" applyFont="1" applyAlignment="1">
      <alignment horizontal="center" vertical="center"/>
    </xf>
    <xf numFmtId="0" fontId="13" fillId="3" borderId="6" xfId="11" applyFont="1" applyFill="1" applyBorder="1">
      <alignment horizontal="center" vertical="center"/>
    </xf>
    <xf numFmtId="0" fontId="13" fillId="3" borderId="7" xfId="11" applyFont="1" applyFill="1" applyBorder="1">
      <alignment horizontal="center" vertical="center"/>
    </xf>
    <xf numFmtId="0" fontId="1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3" applyAlignment="1">
      <alignment wrapText="1"/>
    </xf>
    <xf numFmtId="166" fontId="13" fillId="2" borderId="15" xfId="0" applyNumberFormat="1" applyFont="1" applyFill="1" applyBorder="1" applyAlignment="1">
      <alignment horizontal="center" vertical="center" wrapText="1"/>
    </xf>
    <xf numFmtId="166" fontId="13" fillId="2" borderId="11" xfId="0" applyNumberFormat="1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/>
    </xf>
    <xf numFmtId="0" fontId="4" fillId="2" borderId="18" xfId="0" applyFont="1" applyFill="1" applyBorder="1"/>
    <xf numFmtId="0" fontId="22" fillId="0" borderId="0" xfId="0" applyFont="1" applyAlignment="1">
      <alignment horizontal="left"/>
    </xf>
    <xf numFmtId="0" fontId="23" fillId="0" borderId="0" xfId="0" applyFont="1"/>
    <xf numFmtId="165" fontId="25" fillId="0" borderId="0" xfId="9" applyFont="1" applyBorder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8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0" fillId="0" borderId="0" xfId="8" applyFont="1" applyAlignment="1">
      <alignment horizontal="left"/>
    </xf>
    <xf numFmtId="0" fontId="8" fillId="0" borderId="0" xfId="0" applyFont="1"/>
    <xf numFmtId="0" fontId="8" fillId="0" borderId="0" xfId="3" applyAlignment="1">
      <alignment wrapText="1"/>
    </xf>
    <xf numFmtId="0" fontId="14" fillId="9" borderId="13" xfId="0" applyFont="1" applyFill="1" applyBorder="1" applyAlignment="1">
      <alignment horizontal="left" vertical="center" indent="1"/>
    </xf>
    <xf numFmtId="0" fontId="4" fillId="2" borderId="18" xfId="0" applyFont="1" applyFill="1" applyBorder="1" applyAlignment="1">
      <alignment horizontal="left" indent="1"/>
    </xf>
    <xf numFmtId="0" fontId="14" fillId="9" borderId="13" xfId="0" applyFont="1" applyFill="1" applyBorder="1" applyAlignment="1">
      <alignment vertical="center"/>
    </xf>
  </cellXfs>
  <cellStyles count="13">
    <cellStyle name="Comma" xfId="4" builtinId="3" customBuiltin="1"/>
    <cellStyle name="Date" xfId="10" xr:uid="{229918B6-DD13-4F5A-97B9-305F7E002AA3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ame" xfId="11" xr:uid="{B2D3C1EE-6B41-4801-AAFC-C2274E49E503}"/>
    <cellStyle name="Normal" xfId="0" builtinId="0"/>
    <cellStyle name="Percent" xfId="2" builtinId="5"/>
    <cellStyle name="Project Start" xfId="9" xr:uid="{8EB8A09A-C31C-40A3-B2C1-9449520178B8}"/>
    <cellStyle name="Task" xfId="12" xr:uid="{6391D789-272B-4DD2-9BF3-2CDCF610FA41}"/>
    <cellStyle name="Title" xfId="5" builtinId="15" customBuiltin="1"/>
    <cellStyle name="zHiddenText" xfId="3" xr:uid="{26E66EE6-E33F-4D77-BAE4-0FB4F5BBF673}"/>
  </cellStyles>
  <dxfs count="26"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9" tint="0.79998168889431442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4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9" tint="0.79998168889431442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4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9" tint="0.79998168889431442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69"/>
  <sheetViews>
    <sheetView showGridLines="0" tabSelected="1" showRuler="0" zoomScaleNormal="100" zoomScalePageLayoutView="70" workbookViewId="0">
      <selection activeCell="B10" sqref="B10"/>
    </sheetView>
  </sheetViews>
  <sheetFormatPr defaultColWidth="8.58203125" defaultRowHeight="30" customHeight="1" x14ac:dyDescent="0.3"/>
  <cols>
    <col min="1" max="1" width="4.58203125" style="5" customWidth="1"/>
    <col min="2" max="2" width="52.75" bestFit="1" customWidth="1"/>
    <col min="3" max="3" width="16.58203125" customWidth="1"/>
    <col min="4" max="4" width="10.58203125" customWidth="1"/>
    <col min="5" max="5" width="10.58203125" style="2" customWidth="1"/>
    <col min="6" max="6" width="10.58203125" customWidth="1"/>
    <col min="7" max="7" width="2.58203125" customWidth="1"/>
    <col min="8" max="8" width="6" hidden="1" customWidth="1"/>
    <col min="9" max="29" width="4.08203125" customWidth="1"/>
  </cols>
  <sheetData>
    <row r="1" spans="1:29" ht="90" customHeight="1" x14ac:dyDescent="1.7">
      <c r="A1" s="68"/>
      <c r="B1" s="62" t="s">
        <v>0</v>
      </c>
      <c r="C1" s="7"/>
      <c r="D1" s="8"/>
      <c r="E1" s="9"/>
      <c r="F1" s="10"/>
      <c r="H1" s="1"/>
      <c r="I1" s="77" t="s">
        <v>1</v>
      </c>
      <c r="J1" s="78"/>
      <c r="K1" s="78"/>
      <c r="L1" s="78"/>
      <c r="M1" s="78"/>
      <c r="N1" s="78"/>
      <c r="O1" s="78"/>
      <c r="P1" s="13"/>
      <c r="Q1" s="75">
        <v>46130</v>
      </c>
      <c r="R1" s="76"/>
      <c r="S1" s="76"/>
      <c r="T1" s="76"/>
      <c r="U1" s="76"/>
      <c r="V1" s="76"/>
      <c r="W1" s="76"/>
      <c r="X1" s="76"/>
      <c r="Y1" s="76"/>
      <c r="Z1" s="76"/>
    </row>
    <row r="2" spans="1:29" ht="30" customHeight="1" x14ac:dyDescent="0.7">
      <c r="B2" s="64" t="s">
        <v>2</v>
      </c>
      <c r="C2" s="61">
        <v>100525552</v>
      </c>
      <c r="D2" s="11"/>
      <c r="E2" s="12"/>
      <c r="F2" s="11"/>
      <c r="I2" s="79" t="s">
        <v>3</v>
      </c>
      <c r="J2" s="80"/>
      <c r="K2" s="80"/>
      <c r="L2" s="80"/>
      <c r="M2" s="80"/>
      <c r="N2" s="80"/>
      <c r="O2" s="80"/>
      <c r="P2" s="63"/>
      <c r="Q2" s="73">
        <v>2</v>
      </c>
      <c r="R2" s="74"/>
      <c r="S2" s="74"/>
      <c r="T2" s="74"/>
      <c r="U2" s="74"/>
      <c r="V2" s="74"/>
      <c r="W2" s="74"/>
      <c r="X2" s="74"/>
      <c r="Y2" s="74"/>
      <c r="Z2" s="74"/>
    </row>
    <row r="3" spans="1:29" s="14" customFormat="1" ht="44.5" customHeight="1" x14ac:dyDescent="0.3">
      <c r="A3" s="5"/>
      <c r="B3" s="64" t="s">
        <v>4</v>
      </c>
      <c r="C3" s="61">
        <v>100530543</v>
      </c>
      <c r="D3" s="15"/>
      <c r="E3" s="16"/>
      <c r="I3" s="77" t="s">
        <v>5</v>
      </c>
      <c r="J3" s="78"/>
      <c r="K3" s="78"/>
      <c r="L3" s="78"/>
      <c r="M3" s="78"/>
      <c r="N3" s="78"/>
      <c r="O3" s="78"/>
      <c r="Q3" s="75">
        <v>46150</v>
      </c>
      <c r="R3" s="76"/>
      <c r="S3" s="76"/>
      <c r="T3" s="76"/>
      <c r="U3" s="76"/>
      <c r="V3" s="76"/>
      <c r="W3" s="76"/>
      <c r="X3" s="76"/>
      <c r="Y3" s="76"/>
      <c r="Z3" s="76"/>
    </row>
    <row r="4" spans="1:29" s="14" customFormat="1" ht="30" customHeight="1" x14ac:dyDescent="0.3">
      <c r="A4" s="5"/>
      <c r="B4" s="64" t="s">
        <v>6</v>
      </c>
      <c r="C4" s="61">
        <v>100486739</v>
      </c>
      <c r="D4" s="15"/>
      <c r="E4" s="16"/>
    </row>
    <row r="5" spans="1:29" s="14" customFormat="1" ht="30" customHeight="1" x14ac:dyDescent="0.3">
      <c r="A5" s="5"/>
      <c r="B5" s="64" t="s">
        <v>7</v>
      </c>
      <c r="D5" s="15"/>
      <c r="E5" s="16"/>
    </row>
    <row r="6" spans="1:29" s="14" customFormat="1" ht="30" customHeight="1" x14ac:dyDescent="0.3">
      <c r="A6" s="68"/>
      <c r="B6" s="17"/>
      <c r="E6" s="18"/>
      <c r="I6" s="69">
        <f>I7</f>
        <v>46130</v>
      </c>
      <c r="J6" s="70"/>
      <c r="K6" s="70"/>
      <c r="L6" s="70"/>
      <c r="M6" s="70"/>
      <c r="N6" s="70"/>
      <c r="O6" s="70"/>
      <c r="P6" s="70">
        <f>P7</f>
        <v>46137</v>
      </c>
      <c r="Q6" s="70"/>
      <c r="R6" s="70"/>
      <c r="S6" s="70"/>
      <c r="T6" s="70"/>
      <c r="U6" s="70"/>
      <c r="V6" s="70"/>
      <c r="W6" s="70">
        <f>W7</f>
        <v>46144</v>
      </c>
      <c r="X6" s="70"/>
      <c r="Y6" s="70"/>
      <c r="Z6" s="70"/>
      <c r="AA6" s="70"/>
      <c r="AB6" s="70"/>
      <c r="AC6" s="70"/>
    </row>
    <row r="7" spans="1:29" s="14" customFormat="1" ht="15" customHeight="1" x14ac:dyDescent="0.3">
      <c r="A7" s="81"/>
      <c r="B7" s="82" t="s">
        <v>8</v>
      </c>
      <c r="C7" s="84" t="s">
        <v>9</v>
      </c>
      <c r="D7" s="71" t="s">
        <v>10</v>
      </c>
      <c r="E7" s="71" t="s">
        <v>11</v>
      </c>
      <c r="F7" s="71" t="s">
        <v>12</v>
      </c>
      <c r="I7" s="19">
        <f>Project_Start-WEEKDAY(Project_Start,16)*(Display_Week-1)+1</f>
        <v>46130</v>
      </c>
      <c r="J7" s="19">
        <f>I7+1</f>
        <v>46131</v>
      </c>
      <c r="K7" s="19">
        <f t="shared" ref="K7:AC7" si="0">J7+1</f>
        <v>46132</v>
      </c>
      <c r="L7" s="19">
        <f t="shared" si="0"/>
        <v>46133</v>
      </c>
      <c r="M7" s="19">
        <f t="shared" si="0"/>
        <v>46134</v>
      </c>
      <c r="N7" s="19">
        <f t="shared" si="0"/>
        <v>46135</v>
      </c>
      <c r="O7" s="20">
        <f t="shared" si="0"/>
        <v>46136</v>
      </c>
      <c r="P7" s="21">
        <f>O7+1</f>
        <v>46137</v>
      </c>
      <c r="Q7" s="19">
        <f>P7+1</f>
        <v>46138</v>
      </c>
      <c r="R7" s="19">
        <f t="shared" si="0"/>
        <v>46139</v>
      </c>
      <c r="S7" s="19">
        <f t="shared" si="0"/>
        <v>46140</v>
      </c>
      <c r="T7" s="19">
        <f t="shared" si="0"/>
        <v>46141</v>
      </c>
      <c r="U7" s="19">
        <f t="shared" si="0"/>
        <v>46142</v>
      </c>
      <c r="V7" s="20">
        <f t="shared" si="0"/>
        <v>46143</v>
      </c>
      <c r="W7" s="21">
        <f>V7+1</f>
        <v>46144</v>
      </c>
      <c r="X7" s="19">
        <f>W7+1</f>
        <v>46145</v>
      </c>
      <c r="Y7" s="19">
        <f t="shared" si="0"/>
        <v>46146</v>
      </c>
      <c r="Z7" s="19">
        <f t="shared" si="0"/>
        <v>46147</v>
      </c>
      <c r="AA7" s="19">
        <f t="shared" si="0"/>
        <v>46148</v>
      </c>
      <c r="AB7" s="19">
        <f t="shared" si="0"/>
        <v>46149</v>
      </c>
      <c r="AC7" s="20">
        <f t="shared" si="0"/>
        <v>46150</v>
      </c>
    </row>
    <row r="8" spans="1:29" s="14" customFormat="1" ht="15" customHeight="1" thickBot="1" x14ac:dyDescent="0.35">
      <c r="A8" s="81"/>
      <c r="B8" s="83"/>
      <c r="C8" s="72"/>
      <c r="D8" s="72"/>
      <c r="E8" s="72"/>
      <c r="F8" s="72"/>
      <c r="I8" s="22" t="str">
        <f t="shared" ref="I8:AC8" si="1">LEFT(TEXT(I7,"ddd"),1)</f>
        <v>S</v>
      </c>
      <c r="J8" s="23" t="str">
        <f t="shared" si="1"/>
        <v>S</v>
      </c>
      <c r="K8" s="23" t="str">
        <f t="shared" si="1"/>
        <v>M</v>
      </c>
      <c r="L8" s="23" t="str">
        <f t="shared" si="1"/>
        <v>T</v>
      </c>
      <c r="M8" s="23" t="str">
        <f t="shared" si="1"/>
        <v>W</v>
      </c>
      <c r="N8" s="23" t="str">
        <f t="shared" si="1"/>
        <v>T</v>
      </c>
      <c r="O8" s="23" t="str">
        <f t="shared" si="1"/>
        <v>F</v>
      </c>
      <c r="P8" s="23" t="str">
        <f t="shared" si="1"/>
        <v>S</v>
      </c>
      <c r="Q8" s="23" t="str">
        <f t="shared" si="1"/>
        <v>S</v>
      </c>
      <c r="R8" s="23" t="str">
        <f t="shared" si="1"/>
        <v>M</v>
      </c>
      <c r="S8" s="23" t="str">
        <f t="shared" si="1"/>
        <v>T</v>
      </c>
      <c r="T8" s="23" t="str">
        <f t="shared" si="1"/>
        <v>W</v>
      </c>
      <c r="U8" s="23" t="str">
        <f t="shared" si="1"/>
        <v>T</v>
      </c>
      <c r="V8" s="23" t="str">
        <f t="shared" si="1"/>
        <v>F</v>
      </c>
      <c r="W8" s="23" t="str">
        <f t="shared" si="1"/>
        <v>S</v>
      </c>
      <c r="X8" s="23" t="str">
        <f t="shared" si="1"/>
        <v>S</v>
      </c>
      <c r="Y8" s="23" t="str">
        <f t="shared" si="1"/>
        <v>M</v>
      </c>
      <c r="Z8" s="23" t="str">
        <f t="shared" si="1"/>
        <v>T</v>
      </c>
      <c r="AA8" s="23" t="str">
        <f t="shared" si="1"/>
        <v>W</v>
      </c>
      <c r="AB8" s="23" t="str">
        <f t="shared" si="1"/>
        <v>T</v>
      </c>
      <c r="AC8" s="23" t="str">
        <f t="shared" si="1"/>
        <v>F</v>
      </c>
    </row>
    <row r="9" spans="1:29" s="14" customFormat="1" ht="30" hidden="1" customHeight="1" thickBot="1" x14ac:dyDescent="0.35">
      <c r="A9" s="5" t="s">
        <v>13</v>
      </c>
      <c r="B9" s="24"/>
      <c r="C9" s="25"/>
      <c r="D9" s="24"/>
      <c r="E9" s="24"/>
      <c r="F9" s="24"/>
      <c r="H9" s="14" t="str">
        <f>IF(OR(ISBLANK(task_start),ISBLANK(task_end)),"",task_end-task_start+1)</f>
        <v/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s="33" customFormat="1" ht="30" customHeight="1" thickBot="1" x14ac:dyDescent="0.35">
      <c r="A10" s="68"/>
      <c r="B10" s="27" t="s">
        <v>14</v>
      </c>
      <c r="C10" s="28"/>
      <c r="D10" s="29"/>
      <c r="E10" s="30"/>
      <c r="F10" s="31"/>
      <c r="G10" s="6"/>
      <c r="H10" s="4" t="str">
        <f t="shared" ref="H10:H68" si="2">IF(OR(ISBLANK(task_start),ISBLANK(task_end)),"",task_end-task_start+1)</f>
        <v/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 s="33" customFormat="1" ht="30" customHeight="1" thickBot="1" x14ac:dyDescent="0.35">
      <c r="A11" s="67" t="b">
        <v>1</v>
      </c>
      <c r="B11" s="34" t="s">
        <v>15</v>
      </c>
      <c r="C11" s="65" t="s">
        <v>6</v>
      </c>
      <c r="D11" s="35">
        <f>IF(A11, 100%, 0%)</f>
        <v>1</v>
      </c>
      <c r="E11" s="36">
        <v>46132</v>
      </c>
      <c r="F11" s="36">
        <v>46132</v>
      </c>
      <c r="G11" s="6"/>
      <c r="H11" s="4">
        <f t="shared" si="2"/>
        <v>1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s="33" customFormat="1" ht="30" customHeight="1" thickBot="1" x14ac:dyDescent="0.35">
      <c r="A12" s="67" t="b">
        <v>1</v>
      </c>
      <c r="B12" s="38" t="s">
        <v>16</v>
      </c>
      <c r="C12" s="66" t="s">
        <v>2</v>
      </c>
      <c r="D12" s="39">
        <f t="shared" ref="D12:D40" si="3">IF(A12, 100%, 0%)</f>
        <v>1</v>
      </c>
      <c r="E12" s="40">
        <v>46133</v>
      </c>
      <c r="F12" s="40">
        <v>46150</v>
      </c>
      <c r="G12" s="6"/>
      <c r="H12" s="4">
        <f t="shared" si="2"/>
        <v>18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41"/>
      <c r="V12" s="41"/>
      <c r="W12" s="37"/>
      <c r="X12" s="37"/>
      <c r="Y12" s="37"/>
      <c r="Z12" s="37"/>
      <c r="AA12" s="37"/>
      <c r="AB12" s="37"/>
      <c r="AC12" s="37"/>
    </row>
    <row r="13" spans="1:29" s="33" customFormat="1" ht="30" customHeight="1" thickBot="1" x14ac:dyDescent="0.35">
      <c r="A13" s="67" t="b">
        <v>1</v>
      </c>
      <c r="B13" s="38" t="s">
        <v>17</v>
      </c>
      <c r="C13" s="66" t="s">
        <v>7</v>
      </c>
      <c r="D13" s="35">
        <f>IF(A13, 100%, 0%)</f>
        <v>1</v>
      </c>
      <c r="E13" s="40">
        <v>46134</v>
      </c>
      <c r="F13" s="40">
        <v>46134</v>
      </c>
      <c r="G13" s="6"/>
      <c r="H13" s="4">
        <f t="shared" si="2"/>
        <v>1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s="33" customFormat="1" ht="30" customHeight="1" thickBot="1" x14ac:dyDescent="0.35">
      <c r="A14" s="67" t="b">
        <v>1</v>
      </c>
      <c r="B14" s="38" t="s">
        <v>18</v>
      </c>
      <c r="C14" s="66" t="s">
        <v>4</v>
      </c>
      <c r="D14" s="39">
        <f t="shared" si="3"/>
        <v>1</v>
      </c>
      <c r="E14" s="40">
        <v>46137</v>
      </c>
      <c r="F14" s="40">
        <v>46143</v>
      </c>
      <c r="G14" s="6"/>
      <c r="H14" s="4">
        <f t="shared" si="2"/>
        <v>7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41"/>
      <c r="Z14" s="37"/>
      <c r="AA14" s="37"/>
      <c r="AB14" s="37"/>
      <c r="AC14" s="37"/>
    </row>
    <row r="15" spans="1:29" s="33" customFormat="1" ht="30" customHeight="1" thickBot="1" x14ac:dyDescent="0.35">
      <c r="A15" s="67" t="b">
        <v>1</v>
      </c>
      <c r="B15" s="38" t="s">
        <v>19</v>
      </c>
      <c r="C15" s="66" t="s">
        <v>4</v>
      </c>
      <c r="D15" s="39">
        <f t="shared" si="3"/>
        <v>1</v>
      </c>
      <c r="E15" s="40">
        <v>46137</v>
      </c>
      <c r="F15" s="40">
        <v>46143</v>
      </c>
      <c r="G15" s="6"/>
      <c r="H15" s="4">
        <f t="shared" si="2"/>
        <v>7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s="33" customFormat="1" ht="30" customHeight="1" thickBot="1" x14ac:dyDescent="0.35">
      <c r="A16" s="67" t="b">
        <v>1</v>
      </c>
      <c r="B16" s="38" t="s">
        <v>20</v>
      </c>
      <c r="C16" s="66" t="s">
        <v>7</v>
      </c>
      <c r="D16" s="39">
        <f t="shared" si="3"/>
        <v>1</v>
      </c>
      <c r="E16" s="40">
        <v>46137</v>
      </c>
      <c r="F16" s="40">
        <v>46137</v>
      </c>
      <c r="G16" s="6"/>
      <c r="H16" s="4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s="33" customFormat="1" ht="30" customHeight="1" thickBot="1" x14ac:dyDescent="0.35">
      <c r="A17" s="67" t="b">
        <v>1</v>
      </c>
      <c r="B17" s="38" t="s">
        <v>21</v>
      </c>
      <c r="C17" s="66" t="s">
        <v>7</v>
      </c>
      <c r="D17" s="39">
        <f t="shared" si="3"/>
        <v>1</v>
      </c>
      <c r="E17" s="40">
        <v>46141</v>
      </c>
      <c r="F17" s="40">
        <v>46141</v>
      </c>
      <c r="G17" s="6"/>
      <c r="H17" s="4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s="33" customFormat="1" ht="30" customHeight="1" thickBot="1" x14ac:dyDescent="0.35">
      <c r="A18" s="67" t="b">
        <v>1</v>
      </c>
      <c r="B18" s="38" t="s">
        <v>22</v>
      </c>
      <c r="C18" s="66" t="s">
        <v>7</v>
      </c>
      <c r="D18" s="39">
        <f t="shared" ref="D18" si="4">IF(A18, 100%, 0%)</f>
        <v>1</v>
      </c>
      <c r="E18" s="40">
        <v>46143</v>
      </c>
      <c r="F18" s="40">
        <v>46143</v>
      </c>
      <c r="G18" s="6"/>
      <c r="H18" s="4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s="33" customFormat="1" ht="30" customHeight="1" thickBot="1" x14ac:dyDescent="0.35">
      <c r="A19" s="67" t="b">
        <v>1</v>
      </c>
      <c r="B19" s="38" t="s">
        <v>70</v>
      </c>
      <c r="C19" s="66" t="s">
        <v>7</v>
      </c>
      <c r="D19" s="39">
        <f t="shared" ref="D19" si="5">IF(A19, 100%, 0%)</f>
        <v>1</v>
      </c>
      <c r="E19" s="40">
        <v>46143</v>
      </c>
      <c r="F19" s="40">
        <v>46143</v>
      </c>
      <c r="G19" s="6"/>
      <c r="H19" s="4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s="33" customFormat="1" ht="30" customHeight="1" thickBot="1" x14ac:dyDescent="0.35">
      <c r="A20" s="67" t="b">
        <v>1</v>
      </c>
      <c r="B20" s="38" t="s">
        <v>23</v>
      </c>
      <c r="C20" s="66" t="s">
        <v>7</v>
      </c>
      <c r="D20" s="39">
        <f t="shared" si="3"/>
        <v>1</v>
      </c>
      <c r="E20" s="40">
        <v>46137</v>
      </c>
      <c r="F20" s="40">
        <v>46137</v>
      </c>
      <c r="G20" s="6"/>
      <c r="H20" s="4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s="33" customFormat="1" ht="30" customHeight="1" thickBot="1" x14ac:dyDescent="0.35">
      <c r="A21" s="68"/>
      <c r="B21" s="42" t="s">
        <v>24</v>
      </c>
      <c r="C21" s="43"/>
      <c r="D21" s="44"/>
      <c r="E21" s="45"/>
      <c r="F21" s="46"/>
      <c r="G21" s="6"/>
      <c r="H21" s="4" t="str">
        <f t="shared" si="2"/>
        <v/>
      </c>
    </row>
    <row r="22" spans="1:29" s="33" customFormat="1" ht="30" customHeight="1" thickBot="1" x14ac:dyDescent="0.35">
      <c r="A22" s="67" t="b">
        <v>1</v>
      </c>
      <c r="B22" s="47" t="s">
        <v>25</v>
      </c>
      <c r="C22" s="48" t="s">
        <v>6</v>
      </c>
      <c r="D22" s="49">
        <f>IF(A22, 100%, 100%)</f>
        <v>1</v>
      </c>
      <c r="E22" s="50">
        <v>46141</v>
      </c>
      <c r="F22" s="50">
        <v>46142</v>
      </c>
      <c r="G22" s="6"/>
      <c r="H22" s="4">
        <f t="shared" si="2"/>
        <v>2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s="33" customFormat="1" ht="30" customHeight="1" thickBot="1" x14ac:dyDescent="0.35">
      <c r="A23" s="67" t="b">
        <v>1</v>
      </c>
      <c r="B23" s="47" t="s">
        <v>26</v>
      </c>
      <c r="C23" s="48" t="s">
        <v>4</v>
      </c>
      <c r="D23" s="49">
        <f>IF(A23, 100%, 100%)</f>
        <v>1</v>
      </c>
      <c r="E23" s="50">
        <v>46139</v>
      </c>
      <c r="F23" s="50">
        <v>46140</v>
      </c>
      <c r="G23" s="6"/>
      <c r="H23" s="4">
        <f t="shared" si="2"/>
        <v>2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41"/>
      <c r="V23" s="41"/>
      <c r="W23" s="37"/>
      <c r="X23" s="37"/>
      <c r="Y23" s="37"/>
      <c r="Z23" s="37"/>
      <c r="AA23" s="37"/>
      <c r="AB23" s="37"/>
      <c r="AC23" s="37"/>
    </row>
    <row r="24" spans="1:29" s="33" customFormat="1" ht="30" customHeight="1" thickBot="1" x14ac:dyDescent="0.35">
      <c r="A24" s="67" t="b">
        <v>1</v>
      </c>
      <c r="B24" s="47" t="s">
        <v>27</v>
      </c>
      <c r="C24" s="48" t="s">
        <v>6</v>
      </c>
      <c r="D24" s="49">
        <f>IF(A24, 100%, 100%)</f>
        <v>1</v>
      </c>
      <c r="E24" s="50">
        <v>46142</v>
      </c>
      <c r="F24" s="50">
        <v>46143</v>
      </c>
      <c r="G24" s="6"/>
      <c r="H24" s="4">
        <f t="shared" si="2"/>
        <v>2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s="33" customFormat="1" ht="30" customHeight="1" thickBot="1" x14ac:dyDescent="0.35">
      <c r="A25" s="67" t="b">
        <v>1</v>
      </c>
      <c r="B25" s="47" t="s">
        <v>28</v>
      </c>
      <c r="C25" s="48" t="s">
        <v>6</v>
      </c>
      <c r="D25" s="49">
        <f t="shared" si="3"/>
        <v>1</v>
      </c>
      <c r="E25" s="50">
        <v>46142</v>
      </c>
      <c r="F25" s="50">
        <v>46143</v>
      </c>
      <c r="G25" s="6"/>
      <c r="H25" s="4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s="33" customFormat="1" ht="30" customHeight="1" thickBot="1" x14ac:dyDescent="0.35">
      <c r="A26" s="67" t="b">
        <v>1</v>
      </c>
      <c r="B26" s="47" t="s">
        <v>29</v>
      </c>
      <c r="C26" s="48" t="s">
        <v>6</v>
      </c>
      <c r="D26" s="49">
        <f>IF(A26, 100%, 0%)</f>
        <v>1</v>
      </c>
      <c r="E26" s="50">
        <v>46140</v>
      </c>
      <c r="F26" s="50">
        <v>46141</v>
      </c>
      <c r="G26" s="6"/>
      <c r="H26" s="4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s="33" customFormat="1" ht="30" customHeight="1" thickBot="1" x14ac:dyDescent="0.35">
      <c r="A27" s="67" t="b">
        <v>1</v>
      </c>
      <c r="B27" s="47" t="s">
        <v>30</v>
      </c>
      <c r="C27" s="48" t="s">
        <v>6</v>
      </c>
      <c r="D27" s="49">
        <f t="shared" si="3"/>
        <v>1</v>
      </c>
      <c r="E27" s="50">
        <v>46140</v>
      </c>
      <c r="F27" s="50">
        <v>46141</v>
      </c>
      <c r="G27" s="6"/>
      <c r="H27" s="4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s="33" customFormat="1" ht="30" customHeight="1" thickBot="1" x14ac:dyDescent="0.35">
      <c r="A28" s="67" t="b">
        <v>1</v>
      </c>
      <c r="B28" s="47" t="s">
        <v>31</v>
      </c>
      <c r="C28" s="48" t="s">
        <v>2</v>
      </c>
      <c r="D28" s="49">
        <f t="shared" si="3"/>
        <v>1</v>
      </c>
      <c r="E28" s="50">
        <v>46142</v>
      </c>
      <c r="F28" s="50">
        <v>46143</v>
      </c>
      <c r="G28" s="6"/>
      <c r="H28" s="4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s="33" customFormat="1" ht="30" customHeight="1" thickBot="1" x14ac:dyDescent="0.35">
      <c r="A29" s="67" t="b">
        <v>1</v>
      </c>
      <c r="B29" s="47" t="s">
        <v>32</v>
      </c>
      <c r="C29" s="48" t="s">
        <v>4</v>
      </c>
      <c r="D29" s="49">
        <f t="shared" si="3"/>
        <v>1</v>
      </c>
      <c r="E29" s="50">
        <v>46139</v>
      </c>
      <c r="F29" s="50">
        <v>46141</v>
      </c>
      <c r="G29" s="6"/>
      <c r="H29" s="4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s="33" customFormat="1" ht="30" customHeight="1" thickBot="1" x14ac:dyDescent="0.35">
      <c r="A30" s="67" t="b">
        <v>1</v>
      </c>
      <c r="B30" s="47" t="s">
        <v>33</v>
      </c>
      <c r="C30" s="48" t="s">
        <v>6</v>
      </c>
      <c r="D30" s="49">
        <f t="shared" si="3"/>
        <v>1</v>
      </c>
      <c r="E30" s="50">
        <v>46141</v>
      </c>
      <c r="F30" s="50">
        <v>46143</v>
      </c>
      <c r="G30" s="6"/>
      <c r="H30" s="4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s="33" customFormat="1" ht="30" customHeight="1" thickBot="1" x14ac:dyDescent="0.35">
      <c r="A31" s="67" t="b">
        <v>1</v>
      </c>
      <c r="B31" s="47" t="s">
        <v>34</v>
      </c>
      <c r="C31" s="48" t="s">
        <v>6</v>
      </c>
      <c r="D31" s="49">
        <f t="shared" si="3"/>
        <v>1</v>
      </c>
      <c r="E31" s="50">
        <v>46141</v>
      </c>
      <c r="F31" s="50">
        <v>46143</v>
      </c>
      <c r="G31" s="6"/>
      <c r="H31" s="4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s="33" customFormat="1" ht="30" customHeight="1" thickBot="1" x14ac:dyDescent="0.35">
      <c r="A32" s="67" t="b">
        <v>1</v>
      </c>
      <c r="B32" s="47" t="s">
        <v>35</v>
      </c>
      <c r="C32" s="48" t="s">
        <v>2</v>
      </c>
      <c r="D32" s="49">
        <f t="shared" si="3"/>
        <v>1</v>
      </c>
      <c r="E32" s="50">
        <v>46143</v>
      </c>
      <c r="F32" s="50">
        <v>46145</v>
      </c>
      <c r="G32" s="6"/>
      <c r="H32" s="4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s="33" customFormat="1" ht="30" customHeight="1" thickBot="1" x14ac:dyDescent="0.35">
      <c r="A33" s="67" t="b">
        <v>1</v>
      </c>
      <c r="B33" s="47" t="s">
        <v>36</v>
      </c>
      <c r="C33" s="48" t="s">
        <v>4</v>
      </c>
      <c r="D33" s="49">
        <f t="shared" si="3"/>
        <v>1</v>
      </c>
      <c r="E33" s="50">
        <v>46143</v>
      </c>
      <c r="F33" s="50">
        <v>46145</v>
      </c>
      <c r="G33" s="6"/>
      <c r="H33" s="4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s="33" customFormat="1" ht="30" customHeight="1" thickBot="1" x14ac:dyDescent="0.35">
      <c r="A34" s="67" t="b">
        <v>1</v>
      </c>
      <c r="B34" s="47" t="s">
        <v>37</v>
      </c>
      <c r="C34" s="48" t="s">
        <v>2</v>
      </c>
      <c r="D34" s="49">
        <f t="shared" si="3"/>
        <v>1</v>
      </c>
      <c r="E34" s="50">
        <v>46139</v>
      </c>
      <c r="F34" s="50">
        <v>46140</v>
      </c>
      <c r="G34" s="6"/>
      <c r="H34" s="4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s="33" customFormat="1" ht="30" customHeight="1" thickBot="1" x14ac:dyDescent="0.35">
      <c r="A35" s="67" t="b">
        <v>1</v>
      </c>
      <c r="B35" s="47" t="s">
        <v>38</v>
      </c>
      <c r="C35" s="48" t="s">
        <v>2</v>
      </c>
      <c r="D35" s="49">
        <f t="shared" si="3"/>
        <v>1</v>
      </c>
      <c r="E35" s="50">
        <v>46141</v>
      </c>
      <c r="F35" s="50">
        <v>46143</v>
      </c>
      <c r="G35" s="6"/>
      <c r="H35" s="4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s="33" customFormat="1" ht="30" customHeight="1" thickBot="1" x14ac:dyDescent="0.35">
      <c r="A36" s="67" t="b">
        <v>1</v>
      </c>
      <c r="B36" s="47" t="s">
        <v>39</v>
      </c>
      <c r="C36" s="48" t="s">
        <v>2</v>
      </c>
      <c r="D36" s="49">
        <f t="shared" si="3"/>
        <v>1</v>
      </c>
      <c r="E36" s="50">
        <v>46137</v>
      </c>
      <c r="F36" s="50">
        <v>46138</v>
      </c>
      <c r="G36" s="6"/>
      <c r="H36" s="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s="33" customFormat="1" ht="30" customHeight="1" thickBot="1" x14ac:dyDescent="0.35">
      <c r="A37" s="67" t="b">
        <v>1</v>
      </c>
      <c r="B37" s="47" t="s">
        <v>40</v>
      </c>
      <c r="C37" s="48" t="s">
        <v>2</v>
      </c>
      <c r="D37" s="49">
        <f t="shared" si="3"/>
        <v>1</v>
      </c>
      <c r="E37" s="50">
        <v>46139</v>
      </c>
      <c r="F37" s="50">
        <v>46139</v>
      </c>
      <c r="G37" s="6"/>
      <c r="H37" s="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s="33" customFormat="1" ht="30" customHeight="1" thickBot="1" x14ac:dyDescent="0.35">
      <c r="A38" s="67" t="b">
        <v>1</v>
      </c>
      <c r="B38" s="47" t="s">
        <v>41</v>
      </c>
      <c r="C38" s="48" t="s">
        <v>7</v>
      </c>
      <c r="D38" s="49">
        <f t="shared" si="3"/>
        <v>1</v>
      </c>
      <c r="E38" s="50">
        <v>46139</v>
      </c>
      <c r="F38" s="50">
        <v>46147</v>
      </c>
      <c r="G38" s="6"/>
      <c r="H38" s="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s="33" customFormat="1" ht="30" customHeight="1" thickBot="1" x14ac:dyDescent="0.35">
      <c r="A39" s="67" t="b">
        <v>1</v>
      </c>
      <c r="B39" s="47" t="s">
        <v>42</v>
      </c>
      <c r="C39" s="48" t="s">
        <v>6</v>
      </c>
      <c r="D39" s="49">
        <f t="shared" si="3"/>
        <v>1</v>
      </c>
      <c r="E39" s="50">
        <v>46137</v>
      </c>
      <c r="F39" s="50">
        <v>46143</v>
      </c>
      <c r="G39" s="6"/>
      <c r="H39" s="4">
        <f t="shared" si="2"/>
        <v>7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41"/>
      <c r="Z39" s="37"/>
      <c r="AA39" s="37"/>
      <c r="AB39" s="37"/>
      <c r="AC39" s="37"/>
    </row>
    <row r="40" spans="1:29" s="33" customFormat="1" ht="30" customHeight="1" thickBot="1" x14ac:dyDescent="0.35">
      <c r="A40" s="67" t="b">
        <v>1</v>
      </c>
      <c r="B40" s="47" t="s">
        <v>43</v>
      </c>
      <c r="C40" s="48" t="s">
        <v>4</v>
      </c>
      <c r="D40" s="49">
        <f t="shared" si="3"/>
        <v>1</v>
      </c>
      <c r="E40" s="50">
        <v>46142</v>
      </c>
      <c r="F40" s="50">
        <v>46143</v>
      </c>
      <c r="G40" s="6"/>
      <c r="H40" s="4">
        <f t="shared" si="2"/>
        <v>2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41"/>
      <c r="Z40" s="37"/>
      <c r="AA40" s="37"/>
      <c r="AB40" s="37"/>
      <c r="AC40" s="37"/>
    </row>
    <row r="41" spans="1:29" s="33" customFormat="1" ht="30" customHeight="1" thickBot="1" x14ac:dyDescent="0.35">
      <c r="A41" s="67" t="b">
        <v>1</v>
      </c>
      <c r="B41" s="47" t="s">
        <v>44</v>
      </c>
      <c r="C41" s="48" t="s">
        <v>6</v>
      </c>
      <c r="D41" s="49">
        <f t="shared" ref="D41:D65" si="6">IF(A41, 100%, 0%)</f>
        <v>1</v>
      </c>
      <c r="E41" s="50">
        <v>46142</v>
      </c>
      <c r="F41" s="50">
        <v>46143</v>
      </c>
      <c r="G41" s="6"/>
      <c r="H41" s="4">
        <f t="shared" si="2"/>
        <v>2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41"/>
      <c r="Z41" s="37"/>
      <c r="AA41" s="37"/>
      <c r="AB41" s="37"/>
      <c r="AC41" s="37"/>
    </row>
    <row r="42" spans="1:29" s="33" customFormat="1" ht="30" customHeight="1" thickBot="1" x14ac:dyDescent="0.35">
      <c r="A42" s="67" t="b">
        <v>1</v>
      </c>
      <c r="B42" s="47" t="s">
        <v>45</v>
      </c>
      <c r="C42" s="48" t="s">
        <v>7</v>
      </c>
      <c r="D42" s="49">
        <f>IF(A42, 100%, 0%)</f>
        <v>1</v>
      </c>
      <c r="E42" s="50">
        <v>46143</v>
      </c>
      <c r="F42" s="50">
        <v>46145</v>
      </c>
      <c r="G42" s="6"/>
      <c r="H42" s="4">
        <f t="shared" si="2"/>
        <v>3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41"/>
      <c r="Z42" s="37"/>
      <c r="AA42" s="37"/>
      <c r="AB42" s="37"/>
      <c r="AC42" s="37"/>
    </row>
    <row r="43" spans="1:29" s="33" customFormat="1" ht="30" customHeight="1" thickBot="1" x14ac:dyDescent="0.35">
      <c r="A43" s="67" t="b">
        <v>1</v>
      </c>
      <c r="B43" s="47" t="s">
        <v>46</v>
      </c>
      <c r="C43" s="48" t="s">
        <v>7</v>
      </c>
      <c r="D43" s="49">
        <f>IF(A43, 100%, 0%)</f>
        <v>1</v>
      </c>
      <c r="E43" s="50">
        <v>46143</v>
      </c>
      <c r="F43" s="50">
        <v>46145</v>
      </c>
      <c r="G43" s="6"/>
      <c r="H43" s="4">
        <f t="shared" si="2"/>
        <v>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41"/>
      <c r="Z43" s="37"/>
      <c r="AA43" s="37"/>
      <c r="AB43" s="37"/>
      <c r="AC43" s="37"/>
    </row>
    <row r="44" spans="1:29" s="33" customFormat="1" ht="30" customHeight="1" thickBot="1" x14ac:dyDescent="0.35">
      <c r="A44" s="67" t="b">
        <v>1</v>
      </c>
      <c r="B44" s="47" t="s">
        <v>47</v>
      </c>
      <c r="C44" s="48" t="s">
        <v>4</v>
      </c>
      <c r="D44" s="49">
        <f t="shared" si="6"/>
        <v>1</v>
      </c>
      <c r="E44" s="50">
        <v>46143</v>
      </c>
      <c r="F44" s="50">
        <v>46147</v>
      </c>
      <c r="G44" s="6"/>
      <c r="H44" s="4">
        <f t="shared" si="2"/>
        <v>5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41"/>
      <c r="Z44" s="37"/>
      <c r="AA44" s="37"/>
      <c r="AB44" s="37"/>
      <c r="AC44" s="37"/>
    </row>
    <row r="45" spans="1:29" s="33" customFormat="1" ht="30" customHeight="1" thickBot="1" x14ac:dyDescent="0.35">
      <c r="A45" s="67" t="b">
        <v>1</v>
      </c>
      <c r="B45" s="47" t="s">
        <v>48</v>
      </c>
      <c r="C45" s="48" t="s">
        <v>6</v>
      </c>
      <c r="D45" s="49">
        <f t="shared" si="6"/>
        <v>1</v>
      </c>
      <c r="E45" s="50">
        <v>46143</v>
      </c>
      <c r="F45" s="50">
        <v>46145</v>
      </c>
      <c r="G45" s="6"/>
      <c r="H45" s="4">
        <f t="shared" si="2"/>
        <v>3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41"/>
      <c r="Z45" s="37"/>
      <c r="AA45" s="37"/>
      <c r="AB45" s="37"/>
      <c r="AC45" s="37"/>
    </row>
    <row r="46" spans="1:29" s="33" customFormat="1" ht="30" customHeight="1" thickBot="1" x14ac:dyDescent="0.35">
      <c r="A46" s="67" t="b">
        <v>1</v>
      </c>
      <c r="B46" s="47" t="s">
        <v>49</v>
      </c>
      <c r="C46" s="48" t="s">
        <v>2</v>
      </c>
      <c r="D46" s="49">
        <f t="shared" si="6"/>
        <v>1</v>
      </c>
      <c r="E46" s="50">
        <v>46143</v>
      </c>
      <c r="F46" s="50">
        <v>46145</v>
      </c>
      <c r="G46" s="6"/>
      <c r="H46" s="4">
        <f t="shared" si="2"/>
        <v>3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41"/>
      <c r="Z46" s="37"/>
      <c r="AA46" s="37"/>
      <c r="AB46" s="37"/>
      <c r="AC46" s="37"/>
    </row>
    <row r="47" spans="1:29" s="33" customFormat="1" ht="30" customHeight="1" thickBot="1" x14ac:dyDescent="0.35">
      <c r="A47" s="67" t="b">
        <v>1</v>
      </c>
      <c r="B47" s="47" t="s">
        <v>50</v>
      </c>
      <c r="C47" s="48" t="s">
        <v>6</v>
      </c>
      <c r="D47" s="49">
        <f t="shared" si="6"/>
        <v>1</v>
      </c>
      <c r="E47" s="50">
        <v>46143</v>
      </c>
      <c r="F47" s="50">
        <v>46145</v>
      </c>
      <c r="G47" s="6"/>
      <c r="H47" s="4">
        <f t="shared" si="2"/>
        <v>3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41"/>
      <c r="Z47" s="37"/>
      <c r="AA47" s="37"/>
      <c r="AB47" s="37"/>
      <c r="AC47" s="37"/>
    </row>
    <row r="48" spans="1:29" s="33" customFormat="1" ht="30" customHeight="1" thickBot="1" x14ac:dyDescent="0.35">
      <c r="A48" s="67" t="b">
        <v>1</v>
      </c>
      <c r="B48" s="47" t="s">
        <v>51</v>
      </c>
      <c r="C48" s="48" t="s">
        <v>6</v>
      </c>
      <c r="D48" s="49">
        <f t="shared" si="6"/>
        <v>1</v>
      </c>
      <c r="E48" s="50">
        <v>46144</v>
      </c>
      <c r="F48" s="50">
        <v>46145</v>
      </c>
      <c r="G48" s="6"/>
      <c r="H48" s="4">
        <f t="shared" si="2"/>
        <v>2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41"/>
      <c r="Z48" s="37"/>
      <c r="AA48" s="37"/>
      <c r="AB48" s="37"/>
      <c r="AC48" s="37"/>
    </row>
    <row r="49" spans="1:29" s="33" customFormat="1" ht="30" customHeight="1" thickBot="1" x14ac:dyDescent="0.35">
      <c r="A49" s="67" t="b">
        <v>1</v>
      </c>
      <c r="B49" s="47" t="s">
        <v>52</v>
      </c>
      <c r="C49" s="48" t="s">
        <v>7</v>
      </c>
      <c r="D49" s="49">
        <f t="shared" si="6"/>
        <v>1</v>
      </c>
      <c r="E49" s="50">
        <v>46146</v>
      </c>
      <c r="F49" s="50">
        <v>46148</v>
      </c>
      <c r="G49" s="6"/>
      <c r="H49" s="4">
        <f t="shared" si="2"/>
        <v>3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41"/>
      <c r="Z49" s="37"/>
      <c r="AA49" s="37"/>
      <c r="AB49" s="37"/>
      <c r="AC49" s="37"/>
    </row>
    <row r="50" spans="1:29" s="33" customFormat="1" ht="30" customHeight="1" thickBot="1" x14ac:dyDescent="0.35">
      <c r="A50" s="67" t="b">
        <v>1</v>
      </c>
      <c r="B50" s="47" t="s">
        <v>53</v>
      </c>
      <c r="C50" s="48" t="s">
        <v>6</v>
      </c>
      <c r="D50" s="49">
        <f t="shared" si="6"/>
        <v>1</v>
      </c>
      <c r="E50" s="50">
        <v>46145</v>
      </c>
      <c r="F50" s="50">
        <v>46145</v>
      </c>
      <c r="G50" s="6"/>
      <c r="H50" s="4">
        <f t="shared" si="2"/>
        <v>1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41"/>
      <c r="Z50" s="37"/>
      <c r="AA50" s="37"/>
      <c r="AB50" s="37"/>
      <c r="AC50" s="37"/>
    </row>
    <row r="51" spans="1:29" s="33" customFormat="1" ht="30" customHeight="1" thickBot="1" x14ac:dyDescent="0.35">
      <c r="A51" s="67" t="b">
        <v>1</v>
      </c>
      <c r="B51" s="47" t="s">
        <v>54</v>
      </c>
      <c r="C51" s="48" t="s">
        <v>2</v>
      </c>
      <c r="D51" s="49">
        <f t="shared" si="6"/>
        <v>1</v>
      </c>
      <c r="E51" s="50">
        <v>46145</v>
      </c>
      <c r="F51" s="50">
        <v>46145</v>
      </c>
      <c r="G51" s="6"/>
      <c r="H51" s="4">
        <f t="shared" si="2"/>
        <v>1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41"/>
      <c r="Z51" s="37"/>
      <c r="AA51" s="37"/>
      <c r="AB51" s="37"/>
      <c r="AC51" s="37"/>
    </row>
    <row r="52" spans="1:29" s="33" customFormat="1" ht="30" customHeight="1" thickBot="1" x14ac:dyDescent="0.35">
      <c r="A52" s="67" t="b">
        <v>1</v>
      </c>
      <c r="B52" s="47" t="s">
        <v>55</v>
      </c>
      <c r="C52" s="48" t="s">
        <v>7</v>
      </c>
      <c r="D52" s="49">
        <f t="shared" si="6"/>
        <v>1</v>
      </c>
      <c r="E52" s="50">
        <v>46145</v>
      </c>
      <c r="F52" s="50">
        <v>46147</v>
      </c>
      <c r="G52" s="6"/>
      <c r="H52" s="4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41"/>
      <c r="Z52" s="37"/>
      <c r="AA52" s="37"/>
      <c r="AB52" s="37"/>
      <c r="AC52" s="37"/>
    </row>
    <row r="53" spans="1:29" s="33" customFormat="1" ht="30" customHeight="1" thickBot="1" x14ac:dyDescent="0.35">
      <c r="A53" s="67" t="b">
        <v>1</v>
      </c>
      <c r="B53" s="47" t="s">
        <v>56</v>
      </c>
      <c r="C53" s="48" t="s">
        <v>6</v>
      </c>
      <c r="D53" s="49">
        <f t="shared" si="6"/>
        <v>1</v>
      </c>
      <c r="E53" s="50">
        <v>46145</v>
      </c>
      <c r="F53" s="50">
        <v>46148</v>
      </c>
      <c r="G53" s="6"/>
      <c r="H53" s="4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41"/>
      <c r="Z53" s="37"/>
      <c r="AA53" s="37"/>
      <c r="AB53" s="37"/>
      <c r="AC53" s="37"/>
    </row>
    <row r="54" spans="1:29" s="33" customFormat="1" ht="30" customHeight="1" thickBot="1" x14ac:dyDescent="0.35">
      <c r="A54" s="67" t="b">
        <v>1</v>
      </c>
      <c r="B54" s="47" t="s">
        <v>57</v>
      </c>
      <c r="C54" s="48" t="s">
        <v>6</v>
      </c>
      <c r="D54" s="49">
        <f t="shared" ref="D54" si="7">IF(A54, 100%, 0%)</f>
        <v>1</v>
      </c>
      <c r="E54" s="50">
        <v>46145</v>
      </c>
      <c r="F54" s="50">
        <v>46148</v>
      </c>
      <c r="G54" s="6"/>
      <c r="H54" s="4">
        <f t="shared" si="2"/>
        <v>4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41"/>
      <c r="Z54" s="37"/>
      <c r="AA54" s="37"/>
      <c r="AB54" s="37"/>
      <c r="AC54" s="37"/>
    </row>
    <row r="55" spans="1:29" s="33" customFormat="1" ht="30" customHeight="1" thickBot="1" x14ac:dyDescent="0.35">
      <c r="A55" s="67" t="b">
        <v>1</v>
      </c>
      <c r="B55" s="47" t="s">
        <v>58</v>
      </c>
      <c r="C55" s="48" t="s">
        <v>2</v>
      </c>
      <c r="D55" s="49">
        <f t="shared" ref="D55" si="8">IF(A55, 100%, 0%)</f>
        <v>1</v>
      </c>
      <c r="E55" s="50">
        <v>46145</v>
      </c>
      <c r="F55" s="50">
        <v>46148</v>
      </c>
      <c r="G55" s="6"/>
      <c r="H55" s="4">
        <f t="shared" si="2"/>
        <v>4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41"/>
      <c r="Z55" s="37"/>
      <c r="AA55" s="37"/>
      <c r="AB55" s="37"/>
      <c r="AC55" s="37"/>
    </row>
    <row r="56" spans="1:29" s="33" customFormat="1" ht="30" customHeight="1" thickBot="1" x14ac:dyDescent="0.35">
      <c r="A56" s="67" t="b">
        <v>1</v>
      </c>
      <c r="B56" s="47" t="s">
        <v>59</v>
      </c>
      <c r="C56" s="48" t="s">
        <v>2</v>
      </c>
      <c r="D56" s="49">
        <f t="shared" ref="D56:D58" si="9">IF(A56, 100%, 0%)</f>
        <v>1</v>
      </c>
      <c r="E56" s="50">
        <v>46145</v>
      </c>
      <c r="F56" s="50">
        <v>46148</v>
      </c>
      <c r="G56" s="6"/>
      <c r="H56" s="4">
        <f t="shared" si="2"/>
        <v>4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41"/>
      <c r="Z56" s="37"/>
      <c r="AA56" s="37"/>
      <c r="AB56" s="37"/>
      <c r="AC56" s="37"/>
    </row>
    <row r="57" spans="1:29" s="33" customFormat="1" ht="30" customHeight="1" thickBot="1" x14ac:dyDescent="0.35">
      <c r="A57" s="67" t="b">
        <v>1</v>
      </c>
      <c r="B57" s="47" t="s">
        <v>60</v>
      </c>
      <c r="C57" s="48" t="s">
        <v>2</v>
      </c>
      <c r="D57" s="49">
        <f t="shared" si="9"/>
        <v>1</v>
      </c>
      <c r="E57" s="50">
        <v>46145</v>
      </c>
      <c r="F57" s="50">
        <v>46148</v>
      </c>
      <c r="G57" s="6"/>
      <c r="H57" s="4">
        <f t="shared" si="2"/>
        <v>4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41"/>
      <c r="Z57" s="37"/>
      <c r="AA57" s="37"/>
      <c r="AB57" s="37"/>
      <c r="AC57" s="37"/>
    </row>
    <row r="58" spans="1:29" s="33" customFormat="1" ht="30" customHeight="1" thickBot="1" x14ac:dyDescent="0.35">
      <c r="A58" s="67" t="b">
        <v>1</v>
      </c>
      <c r="B58" s="47" t="s">
        <v>61</v>
      </c>
      <c r="C58" s="48" t="s">
        <v>6</v>
      </c>
      <c r="D58" s="49">
        <f t="shared" si="9"/>
        <v>1</v>
      </c>
      <c r="E58" s="50">
        <v>46145</v>
      </c>
      <c r="F58" s="50">
        <v>46148</v>
      </c>
      <c r="G58" s="6"/>
      <c r="H58" s="4">
        <f t="shared" si="2"/>
        <v>4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41"/>
      <c r="Z58" s="37"/>
      <c r="AA58" s="37"/>
      <c r="AB58" s="37"/>
      <c r="AC58" s="37"/>
    </row>
    <row r="59" spans="1:29" s="33" customFormat="1" ht="30" customHeight="1" thickBot="1" x14ac:dyDescent="0.35">
      <c r="A59" s="67" t="b">
        <v>1</v>
      </c>
      <c r="B59" s="47" t="s">
        <v>62</v>
      </c>
      <c r="C59" s="48" t="s">
        <v>6</v>
      </c>
      <c r="D59" s="49">
        <f t="shared" si="6"/>
        <v>1</v>
      </c>
      <c r="E59" s="50">
        <v>46145</v>
      </c>
      <c r="F59" s="50">
        <v>46148</v>
      </c>
      <c r="G59" s="6"/>
      <c r="H59" s="4">
        <f t="shared" si="2"/>
        <v>4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41"/>
      <c r="Z59" s="37"/>
      <c r="AA59" s="37"/>
      <c r="AB59" s="37"/>
      <c r="AC59" s="37"/>
    </row>
    <row r="60" spans="1:29" s="33" customFormat="1" ht="30" customHeight="1" thickBot="1" x14ac:dyDescent="0.35">
      <c r="A60" s="67" t="b">
        <v>1</v>
      </c>
      <c r="B60" s="47" t="s">
        <v>67</v>
      </c>
      <c r="C60" s="48" t="s">
        <v>2</v>
      </c>
      <c r="D60" s="49">
        <f t="shared" ref="D60" si="10">IF(A60, 100%, 0%)</f>
        <v>1</v>
      </c>
      <c r="E60" s="50">
        <v>46146</v>
      </c>
      <c r="F60" s="50">
        <v>46148</v>
      </c>
      <c r="G60" s="6"/>
      <c r="H60" s="4">
        <f t="shared" si="2"/>
        <v>3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41"/>
      <c r="Z60" s="37"/>
      <c r="AA60" s="37"/>
      <c r="AB60" s="37"/>
      <c r="AC60" s="37"/>
    </row>
    <row r="61" spans="1:29" s="33" customFormat="1" ht="30" customHeight="1" thickBot="1" x14ac:dyDescent="0.35">
      <c r="A61" s="67" t="b">
        <v>1</v>
      </c>
      <c r="B61" s="47" t="s">
        <v>68</v>
      </c>
      <c r="C61" s="48" t="s">
        <v>2</v>
      </c>
      <c r="D61" s="49">
        <f t="shared" ref="D61" si="11">IF(A61, 100%, 0%)</f>
        <v>1</v>
      </c>
      <c r="E61" s="50">
        <v>46146</v>
      </c>
      <c r="F61" s="50">
        <v>46148</v>
      </c>
      <c r="G61" s="6"/>
      <c r="H61" s="4">
        <f t="shared" si="2"/>
        <v>3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41"/>
      <c r="Z61" s="37"/>
      <c r="AA61" s="37"/>
      <c r="AB61" s="37"/>
      <c r="AC61" s="37"/>
    </row>
    <row r="62" spans="1:29" s="33" customFormat="1" ht="30" customHeight="1" thickBot="1" x14ac:dyDescent="0.35">
      <c r="A62" s="5"/>
      <c r="B62" s="51" t="s">
        <v>63</v>
      </c>
      <c r="C62" s="52"/>
      <c r="D62" s="53"/>
      <c r="E62" s="54"/>
      <c r="F62" s="55"/>
      <c r="G62" s="6"/>
      <c r="H62" s="4" t="str">
        <f t="shared" si="2"/>
        <v/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spans="1:29" s="33" customFormat="1" ht="30" customHeight="1" thickBot="1" x14ac:dyDescent="0.35">
      <c r="A63" s="67" t="b">
        <v>1</v>
      </c>
      <c r="B63" s="57" t="s">
        <v>64</v>
      </c>
      <c r="C63" s="58" t="s">
        <v>7</v>
      </c>
      <c r="D63" s="59">
        <f t="shared" si="6"/>
        <v>1</v>
      </c>
      <c r="E63" s="60">
        <v>46144</v>
      </c>
      <c r="F63" s="60">
        <v>46150</v>
      </c>
      <c r="G63" s="6"/>
      <c r="H63" s="4">
        <f t="shared" si="2"/>
        <v>7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s="33" customFormat="1" ht="30" customHeight="1" thickBot="1" x14ac:dyDescent="0.35">
      <c r="A64" s="67" t="b">
        <v>1</v>
      </c>
      <c r="B64" s="57" t="s">
        <v>65</v>
      </c>
      <c r="C64" s="58" t="s">
        <v>7</v>
      </c>
      <c r="D64" s="59">
        <f t="shared" si="6"/>
        <v>1</v>
      </c>
      <c r="E64" s="60">
        <v>46144</v>
      </c>
      <c r="F64" s="60">
        <v>46150</v>
      </c>
      <c r="G64" s="6"/>
      <c r="H64" s="4">
        <f t="shared" si="2"/>
        <v>7</v>
      </c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s="33" customFormat="1" ht="30" customHeight="1" thickBot="1" x14ac:dyDescent="0.35">
      <c r="A65" s="67" t="b">
        <v>1</v>
      </c>
      <c r="B65" s="57" t="s">
        <v>66</v>
      </c>
      <c r="C65" s="58" t="s">
        <v>7</v>
      </c>
      <c r="D65" s="59">
        <f t="shared" si="6"/>
        <v>1</v>
      </c>
      <c r="E65" s="60">
        <v>46144</v>
      </c>
      <c r="F65" s="60">
        <v>46148</v>
      </c>
      <c r="G65" s="6"/>
      <c r="H65" s="4">
        <f t="shared" si="2"/>
        <v>5</v>
      </c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s="33" customFormat="1" ht="30" customHeight="1" thickBot="1" x14ac:dyDescent="0.35">
      <c r="A66" s="67" t="b">
        <v>1</v>
      </c>
      <c r="B66" s="57" t="s">
        <v>69</v>
      </c>
      <c r="C66" s="58" t="s">
        <v>7</v>
      </c>
      <c r="D66" s="59">
        <f t="shared" ref="D66" si="12">IF(A66, 100%, 0%)</f>
        <v>1</v>
      </c>
      <c r="E66" s="60">
        <v>46144</v>
      </c>
      <c r="F66" s="60">
        <v>46150</v>
      </c>
      <c r="G66" s="6"/>
      <c r="H66" s="4">
        <f t="shared" si="2"/>
        <v>7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s="33" customFormat="1" ht="30" customHeight="1" thickBot="1" x14ac:dyDescent="0.35">
      <c r="A67" s="67" t="b">
        <v>1</v>
      </c>
      <c r="B67" s="57" t="s">
        <v>72</v>
      </c>
      <c r="C67" s="58" t="s">
        <v>2</v>
      </c>
      <c r="D67" s="59">
        <f t="shared" ref="D67" si="13">IF(A67, 100%, 0%)</f>
        <v>1</v>
      </c>
      <c r="E67" s="60">
        <v>46149</v>
      </c>
      <c r="F67" s="60">
        <v>46150</v>
      </c>
      <c r="G67" s="6"/>
      <c r="H67" s="4">
        <f t="shared" si="2"/>
        <v>2</v>
      </c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s="33" customFormat="1" ht="30" customHeight="1" thickBot="1" x14ac:dyDescent="0.35">
      <c r="A68" s="67" t="b">
        <v>1</v>
      </c>
      <c r="B68" s="57" t="s">
        <v>71</v>
      </c>
      <c r="C68" s="58" t="s">
        <v>7</v>
      </c>
      <c r="D68" s="59">
        <f t="shared" ref="D68" si="14">IF(A68, 100%, 0%)</f>
        <v>1</v>
      </c>
      <c r="E68" s="60">
        <v>46148</v>
      </c>
      <c r="F68" s="60">
        <v>46148</v>
      </c>
      <c r="G68" s="6"/>
      <c r="H68" s="4">
        <f t="shared" si="2"/>
        <v>1</v>
      </c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30" customHeight="1" x14ac:dyDescent="0.3">
      <c r="C69" s="3"/>
    </row>
  </sheetData>
  <mergeCells count="15">
    <mergeCell ref="A7:A8"/>
    <mergeCell ref="B7:B8"/>
    <mergeCell ref="C7:C8"/>
    <mergeCell ref="D7:D8"/>
    <mergeCell ref="E7:E8"/>
    <mergeCell ref="Q1:Z1"/>
    <mergeCell ref="I1:O1"/>
    <mergeCell ref="I2:O2"/>
    <mergeCell ref="I3:O3"/>
    <mergeCell ref="Q3:Z3"/>
    <mergeCell ref="I6:O6"/>
    <mergeCell ref="P6:V6"/>
    <mergeCell ref="W6:AC6"/>
    <mergeCell ref="F7:F8"/>
    <mergeCell ref="Q2:Z2"/>
  </mergeCells>
  <conditionalFormatting sqref="D9:D68">
    <cfRule type="dataBar" priority="29">
      <dataBar>
        <cfvo type="num" val="0"/>
        <cfvo type="num" val="1"/>
        <color theme="0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6:AB67">
    <cfRule type="expression" dxfId="16" priority="4">
      <formula>AND(TODAY()&gt;=I$7, TODAY()&lt;J$7)</formula>
    </cfRule>
  </conditionalFormatting>
  <conditionalFormatting sqref="I11:AB20">
    <cfRule type="expression" dxfId="15" priority="12">
      <formula>AND(task_start&lt;=I$7,ROUNDDOWN((task_end-task_start+1)*task_progress,0)+task_start-1&gt;=I$7)</formula>
    </cfRule>
    <cfRule type="expression" dxfId="14" priority="13" stopIfTrue="1">
      <formula>AND(task_end&gt;=I$7,task_start&lt;J$7)</formula>
    </cfRule>
  </conditionalFormatting>
  <conditionalFormatting sqref="I22:AB61">
    <cfRule type="expression" dxfId="13" priority="10">
      <formula>AND(task_start&lt;=I$7,ROUNDDOWN((task_end-task_start+1)*task_progress,0)+task_start-1&gt;=I$7)</formula>
    </cfRule>
    <cfRule type="expression" dxfId="12" priority="11" stopIfTrue="1">
      <formula>AND(task_end&gt;=I$7,task_start&lt;J$7)</formula>
    </cfRule>
  </conditionalFormatting>
  <conditionalFormatting sqref="I63:AB67">
    <cfRule type="expression" dxfId="11" priority="5">
      <formula>AND(task_start&lt;=I$7,ROUNDDOWN((task_end-task_start+1)*task_progress,0)+task_start-1&gt;=I$7)</formula>
    </cfRule>
    <cfRule type="expression" dxfId="10" priority="6" stopIfTrue="1">
      <formula>AND(task_end&gt;=I$7,task_start&lt;J$7)</formula>
    </cfRule>
  </conditionalFormatting>
  <conditionalFormatting sqref="AC6:AC68">
    <cfRule type="expression" dxfId="9" priority="31">
      <formula>AND(TODAY()&gt;=AC$7, TODAY()&lt;#REF!)</formula>
    </cfRule>
  </conditionalFormatting>
  <conditionalFormatting sqref="AC11:AC20">
    <cfRule type="expression" dxfId="8" priority="34">
      <formula>AND(task_start&lt;=AC$7,ROUNDDOWN((task_end-task_start+1)*task_progress,0)+task_start-1&gt;=AC$7)</formula>
    </cfRule>
    <cfRule type="expression" dxfId="7" priority="35" stopIfTrue="1">
      <formula>AND(task_end&gt;=AC$7,task_start&lt;#REF!)</formula>
    </cfRule>
  </conditionalFormatting>
  <conditionalFormatting sqref="AC22:AC61">
    <cfRule type="expression" dxfId="6" priority="38">
      <formula>AND(task_start&lt;=AC$7,ROUNDDOWN((task_end-task_start+1)*task_progress,0)+task_start-1&gt;=AC$7)</formula>
    </cfRule>
    <cfRule type="expression" dxfId="5" priority="39" stopIfTrue="1">
      <formula>AND(task_end&gt;=AC$7,task_start&lt;#REF!)</formula>
    </cfRule>
  </conditionalFormatting>
  <conditionalFormatting sqref="AC63:AC68">
    <cfRule type="expression" dxfId="4" priority="42">
      <formula>AND(task_start&lt;=AC$7,ROUNDDOWN((task_end-task_start+1)*task_progress,0)+task_start-1&gt;=AC$7)</formula>
    </cfRule>
    <cfRule type="expression" dxfId="3" priority="43" stopIfTrue="1">
      <formula>AND(task_end&gt;=AC$7,task_start&lt;#REF!)</formula>
    </cfRule>
  </conditionalFormatting>
  <conditionalFormatting sqref="I68:AB68">
    <cfRule type="expression" dxfId="2" priority="1">
      <formula>AND(TODAY()&gt;=I$7, TODAY()&lt;J$7)</formula>
    </cfRule>
  </conditionalFormatting>
  <conditionalFormatting sqref="I68:AB68">
    <cfRule type="expression" dxfId="1" priority="2">
      <formula>AND(task_start&lt;=I$7,ROUNDDOWN((task_end-task_start+1)*task_progress,0)+task_start-1&gt;=I$7)</formula>
    </cfRule>
    <cfRule type="expression" dxfId="0" priority="3" stopIfTrue="1">
      <formula>AND(task_end&gt;=I$7,task_start&lt;J$7)</formula>
    </cfRule>
  </conditionalFormatting>
  <dataValidations count="1">
    <dataValidation type="list" allowBlank="1" showInputMessage="1" showErrorMessage="1" sqref="C63:C68 C22:C61 C11:C20" xr:uid="{57E84E88-ADF7-4240-9B38-62294B230932}">
      <formula1>$B$2:$B$5</formula1>
    </dataValidation>
  </dataValidations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D9:D68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239A0-E68C-493F-BEE6-C77FEA397FD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09426A3-87E9-4865-8A6C-3456B026A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245281-08F3-4104-84BD-39F3D8CFB1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 Schedule</vt:lpstr>
      <vt:lpstr>Display_Week</vt:lpstr>
      <vt:lpstr>'Project Schedule'!Print_Titles</vt:lpstr>
      <vt:lpstr>Project_Start</vt:lpstr>
      <vt:lpstr>'Project Schedule'!task_end</vt:lpstr>
      <vt:lpstr>'Project Schedule'!task_progress</vt:lpstr>
      <vt:lpstr>'Project Schedule'!task_start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Raykel Villar</dc:creator>
  <cp:keywords/>
  <dc:description/>
  <cp:lastModifiedBy>Raykel Villar</cp:lastModifiedBy>
  <cp:revision/>
  <dcterms:created xsi:type="dcterms:W3CDTF">2022-03-11T22:41:12Z</dcterms:created>
  <dcterms:modified xsi:type="dcterms:W3CDTF">2026-05-08T01:40:56Z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